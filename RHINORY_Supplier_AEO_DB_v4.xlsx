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a2f2c2f29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5d0fbe27a30646f2"/>
    <x:sheet xmlns:r="http://schemas.openxmlformats.org/officeDocument/2006/relationships" name="01_Master_DB" sheetId="2" r:id="Re3a4f297fd364a07"/>
    <x:sheet xmlns:r="http://schemas.openxmlformats.org/officeDocument/2006/relationships" name="02_Priority_A" sheetId="3" r:id="Rfae0217260ad4d56"/>
    <x:sheet xmlns:r="http://schemas.openxmlformats.org/officeDocument/2006/relationships" name="03_Category_Map" sheetId="4" r:id="Rf8c6df33a1f64993"/>
    <x:sheet xmlns:r="http://schemas.openxmlformats.org/officeDocument/2006/relationships" name="04_Search_Queries" sheetId="5" r:id="R2cf88ca9bdb340a7"/>
    <x:sheet xmlns:r="http://schemas.openxmlformats.org/officeDocument/2006/relationships" name="05_AEO_Method" sheetId="6" r:id="R4c86125f0d9e4284"/>
    <x:sheet xmlns:r="http://schemas.openxmlformats.org/officeDocument/2006/relationships" name="06_Next_Actions" sheetId="7" r:id="R49c9a8d0150f4743"/>
    <x:sheet xmlns:r="http://schemas.openxmlformats.org/officeDocument/2006/relationships" name="07_Contact_Ready" sheetId="8" r:id="Re67af0d2c667420f"/>
    <x:sheet xmlns:r="http://schemas.openxmlformats.org/officeDocument/2006/relationships" name="08_AEO_Reaudit" sheetId="9" r:id="R0838579eb1474cbf"/>
    <x:sheet xmlns:r="http://schemas.openxmlformats.org/officeDocument/2006/relationships" name="09_Outreach_Queue" sheetId="10" r:id="Re7c3e092c23f4978"/>
    <x:sheet xmlns:r="http://schemas.openxmlformats.org/officeDocument/2006/relationships" name="10_New_Leads_v2" sheetId="11" r:id="R17b8daabb6284aba"/>
    <x:sheet xmlns:r="http://schemas.openxmlformats.org/officeDocument/2006/relationships" name="11_Expansion_v3" sheetId="12" r:id="R636edd775749471f"/>
    <x:sheet xmlns:r="http://schemas.openxmlformats.org/officeDocument/2006/relationships" name="12_Expansion_Summary" sheetId="13" r:id="R6ae4461f2b1b4b14"/>
    <x:sheet xmlns:r="http://schemas.openxmlformats.org/officeDocument/2006/relationships" name="13_Expansion_Top" sheetId="14" r:id="Rd6f3542416c04fe7"/>
    <x:sheet xmlns:r="http://schemas.openxmlformats.org/officeDocument/2006/relationships" name="14_EA_Deep_Audit" sheetId="15" r:id="R40be1f32fdca4f33"/>
    <x:sheet xmlns:r="http://schemas.openxmlformats.org/officeDocument/2006/relationships" name="15_Email_Verification" sheetId="16" r:id="R0ca6b18b037c48b5"/>
    <x:sheet xmlns:r="http://schemas.openxmlformats.org/officeDocument/2006/relationships" name="16_Commercial_Gaps" sheetId="17" r:id="R1bd0b259fe824bb6"/>
    <x:sheet xmlns:r="http://schemas.openxmlformats.org/officeDocument/2006/relationships" name="17_Outreach_Ready_v4" sheetId="18" r:id="Ra114e62d834b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b/>
      <x:sz val="20"/>
      <x:color rgb="FFFFFFFF"/>
      <x:name val="Carlito"/>
    </x:font>
    <x:font>
      <x:b/>
      <x:sz val="15"/>
      <x:color rgb="FFFFFFFF"/>
      <x:name val="Carlito"/>
    </x:font>
    <x:font>
      <x:b/>
      <x:sz val="11"/>
      <x:color rgb="FF1E3A8A"/>
      <x:name val="Carlito"/>
    </x:font>
    <x:font>
      <x:b/>
      <x:sz val="9"/>
      <x:color rgb="FFFFFFFF"/>
      <x:name val="Carlito"/>
    </x:font>
    <x:font>
      <x:b/>
      <x:sz val="11"/>
      <x:color rgb="FF991B1B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EF3C7"/>
      </x:patternFill>
    </x:fill>
    <x:fill>
      <x:patternFill patternType="solid">
        <x:fgColor rgb="FF064E3B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4C1D95"/>
      </x:patternFill>
    </x:fill>
    <x:fill>
      <x:patternFill patternType="solid">
        <x:fgColor rgb="FF064E3B"/>
      </x:patternFill>
    </x:fill>
    <x:fill>
      <x:patternFill patternType="solid">
        <x:fgColor rgb="FF7C2D12"/>
      </x:patternFill>
    </x:fill>
    <x:fill>
      <x:patternFill patternType="solid">
        <x:fgColor rgb="FF374151"/>
      </x:patternFill>
    </x:fill>
    <x:fill>
      <x:patternFill patternType="solid">
        <x:fgColor rgb="FFFEF3C7"/>
      </x:patternFill>
    </x:fill>
    <x:fill>
      <x:patternFill patternType="solid">
        <x:fgColor rgb="FF172554"/>
      </x:patternFill>
    </x:fill>
    <x:fill>
      <x:patternFill patternType="solid">
        <x:fgColor rgb="FF1F2937"/>
      </x:patternFill>
    </x:fill>
    <x:fill>
      <x:patternFill patternType="solid">
        <x:fgColor rgb="FF064E3B"/>
      </x:patternFill>
    </x:fill>
    <x:fill>
      <x:patternFill patternType="solid">
        <x:fgColor rgb="FF374151"/>
      </x:patternFill>
    </x:fill>
    <x:fill>
      <x:patternFill patternType="solid">
        <x:fgColor rgb="FFDBEAFE"/>
      </x:patternFill>
    </x:fill>
    <x:fill>
      <x:patternFill patternType="solid">
        <x:fgColor rgb="FF111827"/>
      </x:patternFill>
    </x:fill>
    <x:fill>
      <x:patternFill patternType="solid">
        <x:fgColor rgb="FF7C2D12"/>
      </x:patternFill>
    </x:fill>
    <x:fill>
      <x:patternFill patternType="solid">
        <x:fgColor rgb="FF374151"/>
      </x:patternFill>
    </x:fill>
    <x:fill>
      <x:patternFill patternType="solid">
        <x:fgColor rgb="FF064E3B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wrapText="1"/>
    </x:xf>
    <x:xf numFmtId="0" fontId="7" fillId="18" borderId="0" xfId="0" applyNumberFormat="1" applyFont="1" applyFill="1" applyBorder="1" applyAlignment="1">
      <x:alignment horizontal="center" wrapText="1"/>
    </x:xf>
    <x:xf numFmtId="0" fontId="7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/>
    <x:xf numFmtId="0" fontId="5" fillId="19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8" fillId="22" borderId="0" xfId="0" applyNumberFormat="1" applyFont="1" applyFill="1" applyBorder="1" applyAlignment="1">
      <x:alignment wrapText="1"/>
    </x:xf>
    <x:xf numFmtId="0" fontId="8" fillId="2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8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3730A3"/>
      </x:font>
      <x:fill>
        <x:patternFill>
          <x:bgColor rgb="FFE0E7FF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4409ed5cf4135" /><Relationship Type="http://schemas.openxmlformats.org/officeDocument/2006/relationships/theme" Target="/xl/theme/theme1.xml" Id="R583201cbbbe24803" /><Relationship Type="http://schemas.openxmlformats.org/officeDocument/2006/relationships/sharedStrings" Target="/xl/sharedStrings.xml" Id="R50ef07864ad34991" /><Relationship Type="http://schemas.openxmlformats.org/officeDocument/2006/relationships/worksheet" Target="/xl/worksheets/sheet1.xml" Id="R5d0fbe27a30646f2" /><Relationship Type="http://schemas.openxmlformats.org/officeDocument/2006/relationships/worksheet" Target="/xl/worksheets/sheet2.xml" Id="Re3a4f297fd364a07" /><Relationship Type="http://schemas.openxmlformats.org/officeDocument/2006/relationships/worksheet" Target="/xl/worksheets/sheet3.xml" Id="Rfae0217260ad4d56" /><Relationship Type="http://schemas.openxmlformats.org/officeDocument/2006/relationships/worksheet" Target="/xl/worksheets/sheet4.xml" Id="Rf8c6df33a1f64993" /><Relationship Type="http://schemas.openxmlformats.org/officeDocument/2006/relationships/worksheet" Target="/xl/worksheets/sheet5.xml" Id="R2cf88ca9bdb340a7" /><Relationship Type="http://schemas.openxmlformats.org/officeDocument/2006/relationships/worksheet" Target="/xl/worksheets/sheet6.xml" Id="R4c86125f0d9e4284" /><Relationship Type="http://schemas.openxmlformats.org/officeDocument/2006/relationships/worksheet" Target="/xl/worksheets/sheet7.xml" Id="R49c9a8d0150f4743" /><Relationship Type="http://schemas.openxmlformats.org/officeDocument/2006/relationships/worksheet" Target="/xl/worksheets/sheet8.xml" Id="Re67af0d2c667420f" /><Relationship Type="http://schemas.openxmlformats.org/officeDocument/2006/relationships/worksheet" Target="/xl/worksheets/sheet9.xml" Id="R0838579eb1474cbf" /><Relationship Type="http://schemas.openxmlformats.org/officeDocument/2006/relationships/worksheet" Target="/xl/worksheets/sheet10.xml" Id="Re7c3e092c23f4978" /><Relationship Type="http://schemas.openxmlformats.org/officeDocument/2006/relationships/worksheet" Target="/xl/worksheets/sheet11.xml" Id="R17b8daabb6284aba" /><Relationship Type="http://schemas.openxmlformats.org/officeDocument/2006/relationships/worksheet" Target="/xl/worksheets/sheet12.xml" Id="R636edd775749471f" /><Relationship Type="http://schemas.openxmlformats.org/officeDocument/2006/relationships/worksheet" Target="/xl/worksheets/sheet13.xml" Id="R6ae4461f2b1b4b14" /><Relationship Type="http://schemas.openxmlformats.org/officeDocument/2006/relationships/worksheet" Target="/xl/worksheets/sheet14.xml" Id="Rd6f3542416c04fe7" /><Relationship Type="http://schemas.openxmlformats.org/officeDocument/2006/relationships/worksheet" Target="/xl/worksheets/sheet15.xml" Id="R40be1f32fdca4f33" /><Relationship Type="http://schemas.openxmlformats.org/officeDocument/2006/relationships/worksheet" Target="/xl/worksheets/sheet16.xml" Id="R0ca6b18b037c48b5" /><Relationship Type="http://schemas.openxmlformats.org/officeDocument/2006/relationships/worksheet" Target="/xl/worksheets/sheet17.xml" Id="R1bd0b259fe824bb6" /><Relationship Type="http://schemas.openxmlformats.org/officeDocument/2006/relationships/worksheet" Target="/xl/worksheets/sheet18.xml" Id="Ra114e62d834b45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88909e784d4d1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68fcaa2a1a443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소싱군별 후보 수 / Priority 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업체수(포함)</c:v>
          </c:tx>
          <c:cat>
            <c:strRef>
              <c:f>'00_Dashboard'!$D$5:$D$14</c:f>
              <c:strCache>
                <c:ptCount val="0"/>
              </c:strCache>
            </c:strRef>
          </c:cat>
          <c:val>
            <c:numRef>
              <c:f>'00_Dashboard'!$E$5:$E$14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 후보</c:v>
          </c:tx>
          <c:cat>
            <c:strRef>
              <c:f>'00_Dashboard'!$D$5:$D$14</c:f>
              <c:strCache>
                <c:ptCount val="0"/>
              </c:strCache>
            </c:strRef>
          </c:cat>
          <c:val>
            <c:numRef>
              <c:f>'00_Dashboard'!$F$5:$F$14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카테고리별 공급업체 풀 확장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기존 v1 Master</c:v>
          </c:tx>
          <c:cat>
            <c:strRef>
              <c:f>'12_Expansion_Summary'!$A$2:$A$11</c:f>
              <c:strCache>
                <c:ptCount val="0"/>
              </c:strCache>
            </c:strRef>
          </c:cat>
          <c:val>
            <c:numRef>
              <c:f>'12_Expansion_Summary'!$B$2:$B$11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v2 추가후보</c:v>
          </c:tx>
          <c:cat>
            <c:strRef>
              <c:f>'12_Expansion_Summary'!$A$2:$A$11</c:f>
              <c:strCache>
                <c:ptCount val="0"/>
              </c:strCache>
            </c:strRef>
          </c:cat>
          <c:val>
            <c:numRef>
              <c:f>'12_Expansion_Summary'!$C$2:$C$11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v3 신규</c:v>
          </c:tx>
          <c:cat>
            <c:strRef>
              <c:f>'12_Expansion_Summary'!$A$2:$A$11</c:f>
              <c:strCache>
                <c:ptCount val="0"/>
              </c:strCache>
            </c:strRef>
          </c:cat>
          <c:val>
            <c:numRef>
              <c:f>'12_Expansion_Summary'!$D$2:$D$11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잠재 총계</c:v>
          </c:tx>
          <c:cat>
            <c:strRef>
              <c:f>'12_Expansion_Summary'!$A$2:$A$11</c:f>
              <c:strCache>
                <c:ptCount val="0"/>
              </c:strCache>
            </c:strRef>
          </c:cat>
          <c:val>
            <c:numRef>
              <c:f>'12_Expansion_Summary'!$E$2:$E$11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88909e784d4d1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8fcaa2a1a443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pplierMaster" displayName="SupplierMaster" ref="A1:Y92" headerRowCount="1" totalsRowCount="0" totalsRowShown="0">
  <x:tableColumns count="25">
    <x:tableColumn id="1" name="ID"/>
    <x:tableColumn id="2" name="소싱군"/>
    <x:tableColumn id="3" name="RHINORY 카테고리"/>
    <x:tableColumn id="4" name="핵심 상품/서비스"/>
    <x:tableColumn id="5" name="업체명"/>
    <x:tableColumn id="6" name="업체 유형"/>
    <x:tableColumn id="7" name="커버리지/제품"/>
    <x:tableColumn id="8" name="공식/근거 URL"/>
    <x:tableColumn id="9" name="소스 유형"/>
    <x:tableColumn id="10" name="공개정보 근거"/>
    <x:tableColumn id="11" name="검색발견성 GAP"/>
    <x:tableColumn id="12" name="콘텐츠깊이 GAP"/>
    <x:tableColumn id="13" name="FAQ/답변성 GAP"/>
    <x:tableColumn id="14" name="구조화 GAP"/>
    <x:tableColumn id="15" name="엔티티명확성 GAP"/>
    <x:tableColumn id="16" name="Supplier Fit"/>
    <x:tableColumn id="17" name="멀티카테고리"/>
    <x:tableColumn id="18" name="AEO GAP"/>
    <x:tableColumn id="19" name="전략점수"/>
    <x:tableColumn id="20" name="우선순위"/>
    <x:tableColumn id="21" name="추천 접근각도"/>
    <x:tableColumn id="22" name="검증상태"/>
    <x:tableColumn id="23" name="리서치 신뢰도(1-5)"/>
    <x:tableColumn id="24" name="비고"/>
    <x:tableColumn id="25" name="최종확인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PriorityA" displayName="PriorityA" ref="A1:M43" headerRowCount="1" totalsRowCount="0" totalsRowShown="0">
  <x:tableColumns count="13">
    <x:tableColumn id="1" name="ID"/>
    <x:tableColumn id="2" name="업체명"/>
    <x:tableColumn id="3" name="소싱군"/>
    <x:tableColumn id="4" name="카테고리"/>
    <x:tableColumn id="5" name="상품"/>
    <x:tableColumn id="6" name="Supplier Fit"/>
    <x:tableColumn id="7" name="AEO GAP"/>
    <x:tableColumn id="8" name="멀티카테고리"/>
    <x:tableColumn id="9" name="전략점수"/>
    <x:tableColumn id="10" name="등급"/>
    <x:tableColumn id="11" name="추천 접근각도"/>
    <x:tableColumn id="12" name="검증상태"/>
    <x:tableColumn id="13" name="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ategoryMap" displayName="CategoryMap" ref="A1:F11" headerRowCount="1" totalsRowCount="0" totalsRowShown="0">
  <x:tableColumns count="6">
    <x:tableColumn id="1" name="소싱군"/>
    <x:tableColumn id="2" name="소싱 목적"/>
    <x:tableColumn id="3" name="대표 상품"/>
    <x:tableColumn id="4" name="RHINORY 연결"/>
    <x:tableColumn id="5" name="초기 중요도"/>
    <x:tableColumn id="6" name="검색 핵심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earchQueryBank" displayName="SearchQueryBank" ref="A1:C81" headerRowCount="1" totalsRowCount="0" totalsRowShown="0">
  <x:tableColumns count="3">
    <x:tableColumn id="1" name="소싱군"/>
    <x:tableColumn id="2" name="목적"/>
    <x:tableColumn id="3" name="검색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actReady" displayName="ContactReady" ref="A1:T43" headerRowCount="1" totalsRowCount="0" totalsRowShown="0">
  <x:tableColumns count="20">
    <x:tableColumn id="1" name="ID"/>
    <x:tableColumn id="2" name="업체명"/>
    <x:tableColumn id="3" name="소싱군"/>
    <x:tableColumn id="4" name="카테고리"/>
    <x:tableColumn id="5" name="상품"/>
    <x:tableColumn id="6" name="전화"/>
    <x:tableColumn id="7" name="이메일"/>
    <x:tableColumn id="8" name="접촉방법"/>
    <x:tableColumn id="9" name="연락처 근거 URL"/>
    <x:tableColumn id="10" name="근거유형"/>
    <x:tableColumn id="11" name="검증상태"/>
    <x:tableColumn id="12" name="Supplier Fit"/>
    <x:tableColumn id="13" name="멀티카테고리"/>
    <x:tableColumn id="14" name="AEO 기회점수 v2"/>
    <x:tableColumn id="15" name="Contact Score"/>
    <x:tableColumn id="16" name="전략점수 v2"/>
    <x:tableColumn id="17" name="영업큐"/>
    <x:tableColumn id="18" name="AEO 판단근거"/>
    <x:tableColumn id="19" name="추천 접근각도"/>
    <x:tableColumn id="20" name="확인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EOReaudit" displayName="AEOReaudit" ref="A1:I43" headerRowCount="1" totalsRowCount="0" totalsRowShown="0">
  <x:tableColumns count="9">
    <x:tableColumn id="1" name="ID"/>
    <x:tableColumn id="2" name="업체명"/>
    <x:tableColumn id="3" name="소싱군"/>
    <x:tableColumn id="4" name="상품"/>
    <x:tableColumn id="5" name="AEO 기회점수 v2"/>
    <x:tableColumn id="6" name="관찰근거"/>
    <x:tableColumn id="7" name="검증상태"/>
    <x:tableColumn id="8" name="근거 URL"/>
    <x:tableColumn id="9" name="영업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utreachQueue" displayName="OutreachQueue" ref="A1:O43" headerRowCount="1" totalsRowCount="0" totalsRowShown="0">
  <x:tableColumns count="15">
    <x:tableColumn id="1" name="순번"/>
    <x:tableColumn id="2" name="영업큐"/>
    <x:tableColumn id="3" name="전략점수 v2"/>
    <x:tableColumn id="4" name="업체명"/>
    <x:tableColumn id="5" name="상품"/>
    <x:tableColumn id="6" name="전화"/>
    <x:tableColumn id="7" name="이메일"/>
    <x:tableColumn id="8" name="접촉방법"/>
    <x:tableColumn id="9" name="AEO 기회점수"/>
    <x:tableColumn id="10" name="Supplier Fit"/>
    <x:tableColumn id="11" name="멀티카테고리"/>
    <x:tableColumn id="12" name="추천 접근각도"/>
    <x:tableColumn id="13" name="검증상태"/>
    <x:tableColumn id="14" name="URL"/>
    <x:tableColumn id="15" name="I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ewLeadsV2" displayName="NewLeadsV2" ref="A1:L7" headerRowCount="1" totalsRowCount="0" totalsRowShown="0">
  <x:tableColumns count="12">
    <x:tableColumn id="1" name="ID"/>
    <x:tableColumn id="2" name="업체명"/>
    <x:tableColumn id="3" name="소싱군"/>
    <x:tableColumn id="4" name="카테고리"/>
    <x:tableColumn id="5" name="상품"/>
    <x:tableColumn id="6" name="전화"/>
    <x:tableColumn id="7" name="이메일"/>
    <x:tableColumn id="8" name="URL"/>
    <x:tableColumn id="9" name="발굴근거"/>
    <x:tableColumn id="10" name="예비 AEO기회"/>
    <x:tableColumn id="11" name="상태"/>
    <x:tableColumn id="12" name="다음 확인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xpansionV3" displayName="ExpansionV3" ref="A1:U101" headerRowCount="1" totalsRowCount="0" totalsRowShown="0">
  <x:tableColumns count="21">
    <x:tableColumn id="1" name="ID"/>
    <x:tableColumn id="2" name="소싱군"/>
    <x:tableColumn id="3" name="RHINORY 카테고리"/>
    <x:tableColumn id="4" name="핵심 상품/서비스"/>
    <x:tableColumn id="5" name="업체명"/>
    <x:tableColumn id="6" name="업체 유형"/>
    <x:tableColumn id="7" name="근거 URL"/>
    <x:tableColumn id="8" name="소스 유형"/>
    <x:tableColumn id="9" name="발굴 근거"/>
    <x:tableColumn id="10" name="전화"/>
    <x:tableColumn id="11" name="이메일"/>
    <x:tableColumn id="12" name="Supplier Fit"/>
    <x:tableColumn id="13" name="예비 AEO 기회"/>
    <x:tableColumn id="14" name="신뢰도(1-5)"/>
    <x:tableColumn id="15" name="Expansion Score"/>
    <x:tableColumn id="16" name="확장 등급"/>
    <x:tableColumn id="17" name="중복검사"/>
    <x:tableColumn id="18" name="검증상태"/>
    <x:tableColumn id="19" name="추천 접근각도"/>
    <x:tableColumn id="20" name="다음 확인사항"/>
    <x:tableColumn id="21" name="최종확인일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xpansionSummary" displayName="ExpansionSummary" ref="A1:K11" headerRowCount="1" totalsRowCount="0" totalsRowShown="0">
  <x:tableColumns count="11">
    <x:tableColumn id="1" name="소싱군"/>
    <x:tableColumn id="2" name="기존 v1 Master"/>
    <x:tableColumn id="3" name="v2 추가후보"/>
    <x:tableColumn id="4" name="v3 신규"/>
    <x:tableColumn id="5" name="잠재 총계"/>
    <x:tableColumn id="6" name="v3 평균 Fit"/>
    <x:tableColumn id="7" name="v3 평균 AEO기회"/>
    <x:tableColumn id="8" name="E-A"/>
    <x:tableColumn id="9" name="E-B"/>
    <x:tableColumn id="10" name="VERIFY"/>
    <x:tableColumn id="11" name="대표 확장영역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xpansionTop" displayName="ExpansionTop" ref="A1:N36" headerRowCount="1" totalsRowCount="0" totalsRowShown="0">
  <x:tableColumns count="14">
    <x:tableColumn id="1" name="순위"/>
    <x:tableColumn id="2" name="ID"/>
    <x:tableColumn id="3" name="소싱군"/>
    <x:tableColumn id="4" name="업체명"/>
    <x:tableColumn id="5" name="상품"/>
    <x:tableColumn id="6" name="Supplier Fit"/>
    <x:tableColumn id="7" name="AEO 기회"/>
    <x:tableColumn id="8" name="신뢰도"/>
    <x:tableColumn id="9" name="Expansion Score"/>
    <x:tableColumn id="10" name="등급"/>
    <x:tableColumn id="11" name="업체 유형"/>
    <x:tableColumn id="12" name="검증상태"/>
    <x:tableColumn id="13" name="추천 접근각도"/>
    <x:tableColumn id="14" name="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ADeepAudit" displayName="EADeepAudit" ref="A1:AH65" headerRowCount="1" totalsRowCount="0" totalsRowShown="0">
  <x:tableColumns count="34">
    <x:tableColumn id="1" name="ID"/>
    <x:tableColumn id="2" name="소싱군"/>
    <x:tableColumn id="3" name="업체명"/>
    <x:tableColumn id="4" name="상품"/>
    <x:tableColumn id="5" name="국가"/>
    <x:tableColumn id="6" name="공급 역할"/>
    <x:tableColumn id="7" name="공식 전화"/>
    <x:tableColumn id="8" name="확정/후보 이메일"/>
    <x:tableColumn id="9" name="이메일 검증"/>
    <x:tableColumn id="10" name="메일 근거 1"/>
    <x:tableColumn id="11" name="메일 근거 2"/>
    <x:tableColumn id="12" name="접촉 부서/경로"/>
    <x:tableColumn id="13" name="자사 온라인판매"/>
    <x:tableColumn id="14" name="RHINORY 온라인판매 허용"/>
    <x:tableColumn id="15" name="위탁판매"/>
    <x:tableColumn id="16" name="도매/B2B"/>
    <x:tableColumn id="17" name="OEM/ODM"/>
    <x:tableColumn id="18" name="설치지역"/>
    <x:tableColumn id="19" name="A/S"/>
    <x:tableColumn id="20" name="제품자료 사용권"/>
    <x:tableColumn id="21" name="예비 AEO 기회"/>
    <x:tableColumn id="22" name="FAQ/답변"/>
    <x:tableColumn id="23" name="가격·스토어"/>
    <x:tableColumn id="24" name="제품스펙"/>
    <x:tableColumn id="25" name="시공/프로젝트"/>
    <x:tableColumn id="26" name="A/S 콘텐츠"/>
    <x:tableColumn id="27" name="AEO 기회 v2"/>
    <x:tableColumn id="28" name="Supplier Fit"/>
    <x:tableColumn id="29" name="영업점수 v4"/>
    <x:tableColumn id="30" name="현재 판정"/>
    <x:tableColumn id="31" name="핵심 다음 질문"/>
    <x:tableColumn id="32" name="공식/근거 URL"/>
    <x:tableColumn id="33" name="메모"/>
    <x:tableColumn id="34" name="확인일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EmailVerification" displayName="EmailVerification" ref="A1:M65" headerRowCount="1" totalsRowCount="0" totalsRowShown="0">
  <x:tableColumns count="13">
    <x:tableColumn id="1" name="ID"/>
    <x:tableColumn id="2" name="소싱군"/>
    <x:tableColumn id="3" name="업체명"/>
    <x:tableColumn id="4" name="전화"/>
    <x:tableColumn id="5" name="이메일"/>
    <x:tableColumn id="6" name="검증등급"/>
    <x:tableColumn id="7" name="근거1"/>
    <x:tableColumn id="8" name="근거2"/>
    <x:tableColumn id="9" name="접촉경로"/>
    <x:tableColumn id="10" name="판정"/>
    <x:tableColumn id="11" name="영업점수"/>
    <x:tableColumn id="12" name="공식/근거 URL"/>
    <x:tableColumn id="13" name="메모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OutreachReadyV4" displayName="OutreachReadyV4" ref="A1:S50" headerRowCount="1" totalsRowCount="0" totalsRowShown="0">
  <x:tableColumns count="19">
    <x:tableColumn id="1" name="순위"/>
    <x:tableColumn id="2" name="ID"/>
    <x:tableColumn id="3" name="소싱군"/>
    <x:tableColumn id="4" name="업체명"/>
    <x:tableColumn id="5" name="상품"/>
    <x:tableColumn id="6" name="확정메일"/>
    <x:tableColumn id="7" name="메일등급"/>
    <x:tableColumn id="8" name="전화"/>
    <x:tableColumn id="9" name="접촉경로"/>
    <x:tableColumn id="10" name="Supplier Fit"/>
    <x:tableColumn id="11" name="AEO기회 v2"/>
    <x:tableColumn id="12" name="영업점수"/>
    <x:tableColumn id="13" name="공급역할"/>
    <x:tableColumn id="14" name="도매/B2B"/>
    <x:tableColumn id="15" name="OEM/ODM"/>
    <x:tableColumn id="16" name="설치지역"/>
    <x:tableColumn id="17" name="A/S"/>
    <x:tableColumn id="18" name="자료사용권"/>
    <x:tableColumn id="19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f2471c78d546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6adc9979a7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0f866a38e046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64beaa2f604c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e3e8f033f946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95b189c37cd49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51c03697535c480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cc9b9869b2484b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4a11fce488945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413558a622d94d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54ba0115dee3486b" /><Relationship Type="http://schemas.openxmlformats.org/officeDocument/2006/relationships/table" Target="/xl/tables/table10.xml" Id="R588032efa582440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8d99630869842a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db1346c3b5814c8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35a4487027354d7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4.xml" Id="Rbd17fdf86f23467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4" max="4" width="12" hidden="0" customWidth="1"/>
    <x:col min="5" max="5" width="16" hidden="0" customWidth="1"/>
    <x:col min="6" max="6" width="14" hidden="0" customWidth="1"/>
    <x:col min="7" max="7" width="44" hidden="0" customWidth="1"/>
  </x:cols>
  <x:sheetData>
    <x:row r="1">
      <x:c r="A1" s="35" t="str">
        <x:v>RHINORY SUPPLIER / AEO OPPORTUNITY DB</x:v>
      </x:c>
      <x:c r="B1" s="35"/>
      <x:c r="C1" s="35"/>
      <x:c r="D1" s="35"/>
      <x:c r="E1" s="35"/>
      <x:c r="F1" s="35"/>
      <x:c r="G1" s="35"/>
      <x:c r="H1" s="35"/>
    </x:row>
    <x:row r="2">
      <x:c r="A2" s="35"/>
      <x:c r="B2" s="35"/>
      <x:c r="C2" s="35"/>
      <x:c r="D2" s="35"/>
      <x:c r="E2" s="35"/>
      <x:c r="F2" s="35"/>
      <x:c r="G2" s="35"/>
      <x:c r="H2" s="35"/>
    </x:row>
    <x:row r="4">
      <x:c r="A4" s="44" t="str">
        <x:v>지표</x:v>
      </x:c>
      <x:c r="B4" s="44" t="str">
        <x:v>값</x:v>
      </x:c>
      <x:c r="D4" s="44" t="str">
        <x:v>소싱군</x:v>
      </x:c>
      <x:c r="E4" s="44" t="str">
        <x:v>업체수(포함)</x:v>
      </x:c>
      <x:c r="F4" s="44" t="str">
        <x:v>A 후보</x:v>
      </x:c>
      <x:c r="G4" s="44" t="str">
        <x:v>핵심</x:v>
      </x:c>
    </x:row>
    <x:row r="5">
      <x:c r="A5" s="12" t="str">
        <x:v>총 업체 수</x:v>
      </x:c>
      <x:c r="B5" s="12" t="n">
        <x:v>91</x:v>
      </x:c>
      <x:c r="D5" s="12" t="str">
        <x:v>S01</x:v>
      </x:c>
      <x:c r="E5" s="12" t="n">
        <x:v>10</x:v>
      </x:c>
      <x:c r="F5" s="12" t="n">
        <x:v>7</x:v>
      </x:c>
      <x:c r="G5" s="12" t="str">
        <x:v>담장, 휀스, 대문, 자동게이트</x:v>
      </x:c>
    </x:row>
    <x:row r="6">
      <x:c r="A6" s="12" t="str">
        <x:v>Priority A</x:v>
      </x:c>
      <x:c r="B6" s="12" t="n">
        <x:v>42</x:v>
      </x:c>
      <x:c r="D6" s="12" t="str">
        <x:v>S02</x:v>
      </x:c>
      <x:c r="E6" s="12" t="n">
        <x:v>12</x:v>
      </x:c>
      <x:c r="F6" s="12" t="n">
        <x:v>0</x:v>
      </x:c>
      <x:c r="G6" s="12" t="str">
        <x:v>카포트, 차고, EV충전</x:v>
      </x:c>
    </x:row>
    <x:row r="7">
      <x:c r="A7" s="12" t="str">
        <x:v>소싱군</x:v>
      </x:c>
      <x:c r="B7" s="12" t="n">
        <x:v>10</x:v>
      </x:c>
      <x:c r="D7" s="12" t="str">
        <x:v>S03</x:v>
      </x:c>
      <x:c r="E7" s="12" t="n">
        <x:v>11</x:v>
      </x:c>
      <x:c r="F7" s="12" t="n">
        <x:v>6</x:v>
      </x:c>
      <x:c r="G7" s="12" t="str">
        <x:v>창고, 야외수납, 택배함, 분리수거</x:v>
      </x:c>
    </x:row>
    <x:row r="8">
      <x:c r="A8" s="12" t="str">
        <x:v>검색어 뱅크</x:v>
      </x:c>
      <x:c r="B8" s="12" t="n">
        <x:v>80</x:v>
      </x:c>
      <x:c r="D8" s="12" t="str">
        <x:v>S04</x:v>
      </x:c>
      <x:c r="E8" s="12" t="n">
        <x:v>8</x:v>
      </x:c>
      <x:c r="F8" s="12" t="n">
        <x:v>3</x:v>
      </x:c>
      <x:c r="G8" s="12" t="str">
        <x:v>CCTV, 도어락, 센서, 스마트홈</x:v>
      </x:c>
    </x:row>
    <x:row r="9">
      <x:c r="A9" s="12" t="str">
        <x:v>최종 확인일</x:v>
      </x:c>
      <x:c r="B9" s="12" t="str">
        <x:v>2026-08-13</x:v>
      </x:c>
      <x:c r="D9" s="12" t="str">
        <x:v>S05</x:v>
      </x:c>
      <x:c r="E9" s="12" t="n">
        <x:v>18</x:v>
      </x:c>
      <x:c r="F9" s="12" t="n">
        <x:v>11</x:v>
      </x:c>
      <x:c r="G9" s="12" t="str">
        <x:v>퍼골라, 어닝, 데크, 야외가구, 야외주방</x:v>
      </x:c>
    </x:row>
    <x:row r="10">
      <x:c r="D10" s="12" t="str">
        <x:v>S06</x:v>
      </x:c>
      <x:c r="E10" s="12" t="n">
        <x:v>8</x:v>
      </x:c>
      <x:c r="F10" s="12" t="n">
        <x:v>5</x:v>
      </x:c>
      <x:c r="G10" s="12" t="str">
        <x:v>수영장, 자쿠지, 사우나, 수처리</x:v>
      </x:c>
    </x:row>
    <x:row r="11">
      <x:c r="D11" s="12" t="str">
        <x:v>S07</x:v>
      </x:c>
      <x:c r="E11" s="12" t="n">
        <x:v>9</x:v>
      </x:c>
      <x:c r="F11" s="12" t="n">
        <x:v>3</x:v>
      </x:c>
      <x:c r="G11" s="12" t="str">
        <x:v>관수, 잔디, 조경자재, 수목관리</x:v>
      </x:c>
    </x:row>
    <x:row r="12">
      <x:c r="A12" s="44" t="str">
        <x:v>우선순위</x:v>
      </x:c>
      <x:c r="B12" s="44" t="str">
        <x:v>해석</x:v>
      </x:c>
      <x:c r="D12" s="12" t="str">
        <x:v>S08</x:v>
      </x:c>
      <x:c r="E12" s="12" t="n">
        <x:v>5</x:v>
      </x:c>
      <x:c r="F12" s="12" t="n">
        <x:v>2</x:v>
      </x:c>
      <x:c r="G12" s="12" t="str">
        <x:v>고압세척, 외벽/데크 관리</x:v>
      </x:c>
    </x:row>
    <x:row r="13">
      <x:c r="A13" s="12" t="str">
        <x:v>A</x:v>
      </x:c>
      <x:c r="B13" s="12" t="str">
        <x:v>제품/공급력 높고 AEO 공백도 큰 즉시 접촉 후보</x:v>
      </x:c>
      <x:c r="D13" s="12" t="str">
        <x:v>S09</x:v>
      </x:c>
      <x:c r="E13" s="12" t="n">
        <x:v>8</x:v>
      </x:c>
      <x:c r="F13" s="12" t="n">
        <x:v>3</x:v>
      </x:c>
      <x:c r="G13" s="12" t="str">
        <x:v>태양광, 인버터, 비상전원, 발전기</x:v>
      </x:c>
    </x:row>
    <x:row r="14">
      <x:c r="A14" s="12" t="str">
        <x:v>B</x:v>
      </x:c>
      <x:c r="B14" s="12" t="str">
        <x:v>좋은 후보. 공식 검증 또는 거래조건 확인 후 접촉</x:v>
      </x:c>
      <x:c r="D14" s="12" t="str">
        <x:v>S10</x:v>
      </x:c>
      <x:c r="E14" s="12" t="n">
        <x:v>10</x:v>
      </x:c>
      <x:c r="F14" s="12" t="n">
        <x:v>6</x:v>
      </x:c>
      <x:c r="G14" s="12" t="str">
        <x:v>반려견 공간, 어린이 놀이시설</x:v>
      </x:c>
    </x:row>
    <x:row r="15">
      <x:c r="A15" s="12" t="str">
        <x:v>C</x:v>
      </x:c>
      <x:c r="B15" s="12" t="str">
        <x:v>보조/지역/특수 카테고리 후보</x:v>
      </x:c>
    </x:row>
    <x:row r="16">
      <x:c r="A16" s="12" t="str">
        <x:v>D</x:v>
      </x:c>
      <x:c r="B16" s="12" t="str">
        <x:v>벤치마크 또는 현재 우선도 낮음</x:v>
      </x:c>
    </x:row>
    <x:row r="19">
      <x:c r="A19" s="62" t="str">
        <x:v>V2 — CONTACT &amp; AEO RE-AUDIT</x:v>
      </x:c>
      <x:c r="B19" s="62"/>
      <x:c r="C19" s="62"/>
      <x:c r="D19" s="62"/>
      <x:c r="E19" s="62"/>
      <x:c r="F19" s="62"/>
      <x:c r="G19" s="62"/>
      <x:c r="H19" s="62"/>
    </x:row>
    <x:row r="20">
      <x:c r="A20" s="62"/>
      <x:c r="B20" s="62"/>
      <x:c r="C20" s="62"/>
      <x:c r="D20" s="62"/>
      <x:c r="E20" s="62"/>
      <x:c r="F20" s="62"/>
      <x:c r="G20" s="62"/>
      <x:c r="H20" s="62"/>
    </x:row>
    <x:row r="22">
      <x:c r="A22" s="65" t="str">
        <x:v>V2 지표</x:v>
      </x:c>
      <x:c r="B22" s="65" t="str">
        <x:v>값</x:v>
      </x:c>
      <x:c r="D22" s="69" t="str">
        <x:v>AEO v2는 '실제 AI 인용률'을 측정한 숫자가 아니라, 2026-08-13 공개 웹에서 관찰한 검색/콘텐츠 기회점수입니다. 제품·업체 실체가 강한데 FAQ, 비용, 비교, 소비자 가이드, 최신 콘텐츠, 엔티티 설명이 약할수록 높게 평가했습니다. robots/schema/LLM 인용률은 최종 협상 후보에 한해 별도 기술감사하는 것이 효율적입니다.</x:v>
      </x:c>
      <x:c r="E22" s="69"/>
      <x:c r="F22" s="69"/>
      <x:c r="G22" s="69"/>
      <x:c r="H22" s="69"/>
    </x:row>
    <x:row r="23">
      <x:c r="A23" s="12" t="str">
        <x:v>A등급 재검증</x:v>
      </x:c>
      <x:c r="B23" s="12" t="n">
        <x:v>42</x:v>
      </x:c>
      <x:c r="D23" s="69"/>
      <x:c r="E23" s="69"/>
      <x:c r="F23" s="69"/>
      <x:c r="G23" s="69"/>
      <x:c r="H23" s="69"/>
    </x:row>
    <x:row r="24">
      <x:c r="A24" s="12" t="str">
        <x:v>직접 이메일 확보</x:v>
      </x:c>
      <x:c r="B24" s="12" t="n">
        <x:v>38</x:v>
      </x:c>
      <x:c r="D24" s="69"/>
      <x:c r="E24" s="69"/>
      <x:c r="F24" s="69"/>
      <x:c r="G24" s="69"/>
      <x:c r="H24" s="69"/>
    </x:row>
    <x:row r="25">
      <x:c r="A25" s="12" t="str">
        <x:v>NOW-1</x:v>
      </x:c>
      <x:c r="B25" s="12" t="n">
        <x:v>21</x:v>
      </x:c>
      <x:c r="D25" s="69"/>
      <x:c r="E25" s="69"/>
      <x:c r="F25" s="69"/>
      <x:c r="G25" s="69"/>
      <x:c r="H25" s="69"/>
    </x:row>
    <x:row r="26">
      <x:c r="A26" s="12" t="str">
        <x:v>NOW-2</x:v>
      </x:c>
      <x:c r="B26" s="12" t="n">
        <x:v>14</x:v>
      </x:c>
      <x:c r="D26" s="69"/>
      <x:c r="E26" s="69"/>
      <x:c r="F26" s="69"/>
      <x:c r="G26" s="69"/>
      <x:c r="H26" s="69"/>
    </x:row>
    <x:row r="27">
      <x:c r="A27" s="12" t="str">
        <x:v>VERIFY</x:v>
      </x:c>
      <x:c r="B27" s="12" t="n">
        <x:v>1</x:v>
      </x:c>
      <x:c r="D27" s="69"/>
      <x:c r="E27" s="69"/>
      <x:c r="F27" s="69"/>
      <x:c r="G27" s="69"/>
      <x:c r="H27" s="69"/>
    </x:row>
    <x:row r="28">
      <x:c r="A28" s="12" t="str">
        <x:v>BENCHMARK</x:v>
      </x:c>
      <x:c r="B28" s="12" t="n">
        <x:v>5</x:v>
      </x:c>
    </x:row>
    <x:row r="31">
      <x:c r="A31" s="90" t="str">
        <x:v>V3 — CATEGORY EXPANSION / +100 NEW SUPPLIERS</x:v>
      </x:c>
      <x:c r="B31" s="90"/>
      <x:c r="C31" s="90"/>
      <x:c r="D31" s="90"/>
      <x:c r="E31" s="90"/>
      <x:c r="F31" s="90"/>
      <x:c r="G31" s="90"/>
      <x:c r="H31" s="90"/>
    </x:row>
    <x:row r="32">
      <x:c r="A32" s="90"/>
      <x:c r="B32" s="90"/>
      <x:c r="C32" s="90"/>
      <x:c r="D32" s="90"/>
      <x:c r="E32" s="90"/>
      <x:c r="F32" s="90"/>
      <x:c r="G32" s="90"/>
      <x:c r="H32" s="90"/>
    </x:row>
    <x:row r="34">
      <x:c r="A34" s="93" t="str">
        <x:v>V3 지표</x:v>
      </x:c>
      <x:c r="B34" s="93" t="str">
        <x:v>값</x:v>
      </x:c>
      <x:c r="D34" s="97" t="str">
        <x:v>V3는 각 소싱군별 기존 DB와 v2 신규후보를 제외한 10개씩, 총 100개를 추가한 확장 풀입니다. E-A/E-B는 우선 검증 가치가 높은 후보이며 VERIFY는 2차 자료·SNS·아카이브 등으로 발굴되어 공식사이트/사업 지속 여부 확인이 우선입니다. 예비 AEO 기회점수는 실제 LLM 인용률이 아니라 공개 웹의 콘텐츠·구조·발견성 공백을 바탕으로 한 발굴 우선도입니다.</x:v>
      </x:c>
      <x:c r="E34" s="97"/>
      <x:c r="F34" s="97"/>
      <x:c r="G34" s="97"/>
      <x:c r="H34" s="97"/>
    </x:row>
    <x:row r="35">
      <x:c r="A35" s="12" t="str">
        <x:v>기존 Master</x:v>
      </x:c>
      <x:c r="B35" s="12" t="n">
        <x:v>91</x:v>
      </x:c>
      <x:c r="D35" s="97"/>
      <x:c r="E35" s="97"/>
      <x:c r="F35" s="97"/>
      <x:c r="G35" s="97"/>
      <x:c r="H35" s="97"/>
    </x:row>
    <x:row r="36">
      <x:c r="A36" s="12" t="str">
        <x:v>v2 신규 후보</x:v>
      </x:c>
      <x:c r="B36" s="12" t="n">
        <x:v>6</x:v>
      </x:c>
      <x:c r="D36" s="97"/>
      <x:c r="E36" s="97"/>
      <x:c r="F36" s="97"/>
      <x:c r="G36" s="97"/>
      <x:c r="H36" s="97"/>
    </x:row>
    <x:row r="37">
      <x:c r="A37" s="12" t="str">
        <x:v>v3 신규 후보</x:v>
      </x:c>
      <x:c r="B37" s="12" t="n">
        <x:v>100</x:v>
      </x:c>
      <x:c r="D37" s="97"/>
      <x:c r="E37" s="97"/>
      <x:c r="F37" s="97"/>
      <x:c r="G37" s="97"/>
      <x:c r="H37" s="97"/>
    </x:row>
    <x:row r="38">
      <x:c r="A38" s="12" t="str">
        <x:v>관리대상 잠재 총계</x:v>
      </x:c>
      <x:c r="B38" s="12" t="n">
        <x:v>197</x:v>
      </x:c>
      <x:c r="D38" s="97"/>
      <x:c r="E38" s="97"/>
      <x:c r="F38" s="97"/>
      <x:c r="G38" s="97"/>
      <x:c r="H38" s="97"/>
    </x:row>
    <x:row r="39">
      <x:c r="A39" s="12" t="str">
        <x:v>v3 E-A</x:v>
      </x:c>
      <x:c r="B39" s="12" t="n">
        <x:v>64</x:v>
      </x:c>
      <x:c r="D39" s="97"/>
      <x:c r="E39" s="97"/>
      <x:c r="F39" s="97"/>
      <x:c r="G39" s="97"/>
      <x:c r="H39" s="97"/>
    </x:row>
    <x:row r="40">
      <x:c r="A40" s="12" t="str">
        <x:v>v3 E-B</x:v>
      </x:c>
      <x:c r="B40" s="12" t="n">
        <x:v>32</x:v>
      </x:c>
      <x:c r="D40" s="97"/>
      <x:c r="E40" s="97"/>
      <x:c r="F40" s="97"/>
      <x:c r="G40" s="97"/>
      <x:c r="H40" s="97"/>
    </x:row>
    <x:row r="41">
      <x:c r="A41" s="12" t="str">
        <x:v>v3 VERIFY</x:v>
      </x:c>
      <x:c r="B41" s="12" t="n">
        <x:v>3</x:v>
      </x:c>
      <x:c r="D41" s="97"/>
      <x:c r="E41" s="97"/>
      <x:c r="F41" s="97"/>
      <x:c r="G41" s="97"/>
      <x:c r="H41" s="97"/>
    </x:row>
    <x:row r="44">
      <x:c r="A44" s="114" t="str">
        <x:v>V4 — E-A DEEP AUDIT / EMAIL DOUBLE-CHECK</x:v>
      </x:c>
      <x:c r="B44" s="114"/>
      <x:c r="C44" s="114"/>
      <x:c r="D44" s="114"/>
      <x:c r="E44" s="114"/>
      <x:c r="F44" s="114"/>
      <x:c r="G44" s="114"/>
      <x:c r="H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</x:row>
    <x:row r="47">
      <x:c r="A47" s="109" t="str">
        <x:v>V4 지표</x:v>
      </x:c>
      <x:c r="B47" s="109" t="str">
        <x:v>값</x:v>
      </x:c>
      <x:c r="D47" s="118" t="str">
        <x:v>이메일은 추측하지 않았습니다. A=복수 공식/공식+공공 교차확인, B=현재 공식 기업 페이지 직접 확인, C=외부 신뢰자료만 확인되어 전화 재검증 필요, CONFLICT=공식 출처끼리 주소 불일치, X=공개메일 미확인입니다. 온라인 판매 허용·위탁·공급가·OEM·자료사용권은 공개되지 않은 경우 모두 '문의 필요'로 유지했습니다.</x:v>
      </x:c>
      <x:c r="E47" s="118"/>
      <x:c r="F47" s="118"/>
      <x:c r="G47" s="118"/>
      <x:c r="H47" s="118"/>
    </x:row>
    <x:row r="48">
      <x:c r="A48" s="12" t="str">
        <x:v>E-A 정밀감사</x:v>
      </x:c>
      <x:c r="B48" s="12" t="n">
        <x:v>64</x:v>
      </x:c>
      <x:c r="D48" s="118"/>
      <x:c r="E48" s="118"/>
      <x:c r="F48" s="118"/>
      <x:c r="G48" s="118"/>
      <x:c r="H48" s="118"/>
    </x:row>
    <x:row r="49">
      <x:c r="A49" s="12" t="str">
        <x:v>메일 A</x:v>
      </x:c>
      <x:c r="B49" s="12" t="n">
        <x:v>40</x:v>
      </x:c>
      <x:c r="D49" s="118"/>
      <x:c r="E49" s="118"/>
      <x:c r="F49" s="118"/>
      <x:c r="G49" s="118"/>
      <x:c r="H49" s="118"/>
    </x:row>
    <x:row r="50">
      <x:c r="A50" s="12" t="str">
        <x:v>메일 B</x:v>
      </x:c>
      <x:c r="B50" s="12" t="n">
        <x:v>10</x:v>
      </x:c>
      <x:c r="D50" s="118"/>
      <x:c r="E50" s="118"/>
      <x:c r="F50" s="118"/>
      <x:c r="G50" s="118"/>
      <x:c r="H50" s="118"/>
    </x:row>
    <x:row r="51">
      <x:c r="A51" s="12" t="str">
        <x:v>메일 C</x:v>
      </x:c>
      <x:c r="B51" s="12" t="n">
        <x:v>2</x:v>
      </x:c>
      <x:c r="D51" s="118"/>
      <x:c r="E51" s="118"/>
      <x:c r="F51" s="118"/>
      <x:c r="G51" s="118"/>
      <x:c r="H51" s="118"/>
    </x:row>
    <x:row r="52">
      <x:c r="A52" s="12" t="str">
        <x:v>메일 CONFLICT</x:v>
      </x:c>
      <x:c r="B52" s="12" t="n">
        <x:v>1</x:v>
      </x:c>
      <x:c r="D52" s="118"/>
      <x:c r="E52" s="118"/>
      <x:c r="F52" s="118"/>
      <x:c r="G52" s="118"/>
      <x:c r="H52" s="118"/>
    </x:row>
    <x:row r="53">
      <x:c r="A53" s="12" t="str">
        <x:v>공개메일 없음 X</x:v>
      </x:c>
      <x:c r="B53" s="12" t="n">
        <x:v>11</x:v>
      </x:c>
      <x:c r="D53" s="118"/>
      <x:c r="E53" s="118"/>
      <x:c r="F53" s="118"/>
      <x:c r="G53" s="118"/>
      <x:c r="H53" s="118"/>
    </x:row>
    <x:row r="54">
      <x:c r="A54" s="12" t="str">
        <x:v>즉시 메일 가능(A+B, 국내)</x:v>
      </x:c>
      <x:c r="B54" s="12" t="n">
        <x:v>49</x:v>
      </x:c>
      <x:c r="D54" s="118"/>
      <x:c r="E54" s="118"/>
      <x:c r="F54" s="118"/>
      <x:c r="G54" s="118"/>
      <x:c r="H54" s="118"/>
    </x:row>
  </x:sheetData>
  <x:mergeCells>
    <x:mergeCell ref="A1:H2"/>
    <x:mergeCell ref="A19:H20"/>
    <x:mergeCell ref="D22:H27"/>
    <x:mergeCell ref="A31:H32"/>
    <x:mergeCell ref="D34:H41"/>
    <x:mergeCell ref="A44:H45"/>
    <x:mergeCell ref="D47:H54"/>
  </x:mergeCells>
  <x:pageMargins left="0.7" right="0.7" top="0.75" bottom="0.75" header="0.3" footer="0.3"/>
  <x:drawing xmlns:r="http://schemas.openxmlformats.org/officeDocument/2006/relationships" r:id="Ra3f2471c78d54661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24" hidden="0" customWidth="1"/>
    <x:col min="5" max="5" width="23" hidden="0" customWidth="1"/>
    <x:col min="6" max="6" width="16" hidden="0" customWidth="1"/>
    <x:col min="7" max="7" width="34" hidden="0" customWidth="1"/>
    <x:col min="8" max="8" width="38" hidden="0" customWidth="1"/>
    <x:col min="9" max="9" width="16" hidden="0" customWidth="1"/>
    <x:col min="10" max="10" width="3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3" hidden="0" customWidth="1"/>
    <x:col min="16" max="16" width="12" hidden="0" customWidth="1"/>
    <x:col min="17" max="17" width="13" hidden="0" customWidth="1"/>
    <x:col min="18" max="18" width="12" hidden="0" customWidth="1"/>
    <x:col min="19" max="19" width="12" hidden="0" customWidth="1"/>
    <x:col min="20" max="20" width="10" hidden="0" customWidth="1"/>
    <x:col min="21" max="21" width="42" hidden="0" customWidth="1"/>
    <x:col min="22" max="22" width="20" hidden="0" customWidth="1"/>
    <x:col min="23" max="23" width="16" hidden="0" customWidth="1"/>
    <x:col min="24" max="24" width="28" hidden="0" customWidth="1"/>
    <x:col min="25" max="25" width="13" hidden="0" customWidth="1"/>
  </x:cols>
  <x:sheetData>
    <x:row r="1" ht="34" customHeight="1">
      <x:c r="A1" s="6" t="str">
        <x:v>ID</x:v>
      </x:c>
      <x:c r="B1" s="6" t="str">
        <x:v>소싱군</x:v>
      </x:c>
      <x:c r="C1" s="6" t="str">
        <x:v>RHINORY 카테고리</x:v>
      </x:c>
      <x:c r="D1" s="6" t="str">
        <x:v>핵심 상품/서비스</x:v>
      </x:c>
      <x:c r="E1" s="6" t="str">
        <x:v>업체명</x:v>
      </x:c>
      <x:c r="F1" s="6" t="str">
        <x:v>업체 유형</x:v>
      </x:c>
      <x:c r="G1" s="6" t="str">
        <x:v>커버리지/제품</x:v>
      </x:c>
      <x:c r="H1" s="6" t="str">
        <x:v>공식/근거 URL</x:v>
      </x:c>
      <x:c r="I1" s="6" t="str">
        <x:v>소스 유형</x:v>
      </x:c>
      <x:c r="J1" s="6" t="str">
        <x:v>공개정보 근거</x:v>
      </x:c>
      <x:c r="K1" s="6" t="str">
        <x:v>검색발견성 GAP</x:v>
      </x:c>
      <x:c r="L1" s="6" t="str">
        <x:v>콘텐츠깊이 GAP</x:v>
      </x:c>
      <x:c r="M1" s="6" t="str">
        <x:v>FAQ/답변성 GAP</x:v>
      </x:c>
      <x:c r="N1" s="6" t="str">
        <x:v>구조화 GAP</x:v>
      </x:c>
      <x:c r="O1" s="6" t="str">
        <x:v>엔티티명확성 GAP</x:v>
      </x:c>
      <x:c r="P1" s="6" t="str">
        <x:v>Supplier Fit</x:v>
      </x:c>
      <x:c r="Q1" s="6" t="str">
        <x:v>멀티카테고리</x:v>
      </x:c>
      <x:c r="R1" s="6" t="str">
        <x:v>AEO GAP</x:v>
      </x:c>
      <x:c r="S1" s="6" t="str">
        <x:v>전략점수</x:v>
      </x:c>
      <x:c r="T1" s="6" t="str">
        <x:v>우선순위</x:v>
      </x:c>
      <x:c r="U1" s="6" t="str">
        <x:v>추천 접근각도</x:v>
      </x:c>
      <x:c r="V1" s="6" t="str">
        <x:v>검증상태</x:v>
      </x:c>
      <x:c r="W1" s="6" t="str">
        <x:v>리서치 신뢰도(1-5)</x:v>
      </x:c>
      <x:c r="X1" s="6" t="str">
        <x:v>비고</x:v>
      </x:c>
      <x:c r="Y1" s="6" t="str">
        <x:v>최종확인일</x:v>
      </x:c>
    </x:row>
    <x:row r="2" ht="42" customHeight="1">
      <x:c r="A2" s="14" t="str">
        <x:v>RHY-001</x:v>
      </x:c>
      <x:c r="B2" s="14" t="str">
        <x:v>S01</x:v>
      </x:c>
      <x:c r="C2" s="14" t="str">
        <x:v>BOUNDARY,GATE</x:v>
      </x:c>
      <x:c r="D2" s="14" t="str">
        <x:v>휀스·울타리</x:v>
      </x:c>
      <x:c r="E2" s="14" t="str">
        <x:v>현대휀스개발(주)</x:v>
      </x:c>
      <x:c r="F2" s="14" t="str">
        <x:v>제조·시공</x:v>
      </x:c>
      <x:c r="G2" s="14" t="str">
        <x:v>휀스 제작 전문, 각종 메쉬/울타리</x:v>
      </x:c>
      <x:c r="H2" s="14" t="str">
        <x:v>https://hdfence.co.kr/</x:v>
      </x:c>
      <x:c r="I2" s="14" t="str">
        <x:v>공식</x:v>
      </x:c>
      <x:c r="J2" s="14" t="str">
        <x:v>휀스 제작 전문기업으로 제품/시공 중심</x:v>
      </x:c>
      <x:c r="K2" s="14" t="n">
        <x:v>82</x:v>
      </x:c>
      <x:c r="L2" s="14" t="n">
        <x:v>82</x:v>
      </x:c>
      <x:c r="M2" s="14" t="n">
        <x:v>88</x:v>
      </x:c>
      <x:c r="N2" s="14" t="n">
        <x:v>90</x:v>
      </x:c>
      <x:c r="O2" s="14" t="n">
        <x:v>78</x:v>
      </x:c>
      <x:c r="P2" s="14" t="n">
        <x:v>88</x:v>
      </x:c>
      <x:c r="Q2" s="14" t="n">
        <x:v>72</x:v>
      </x:c>
      <x:c r="R2" s="14" t="n">
        <x:f>ROUND(AVERAGE(K2:O2),0)</x:f>
        <x:v>84</x:v>
      </x:c>
      <x:c r="S2" s="14" t="n">
        <x:f>ROUND(P2*0.45+R2*0.35+Q2*0.20,0)</x:f>
        <x:v>83</x:v>
      </x:c>
      <x:c r="T2" s="14" t="str">
        <x:f>IF(AND(S2&gt;=82,R2&gt;=70,P2&gt;=85),"A",IF(S2&gt;=72,"B",IF(S2&gt;=62,"C","D")))</x:f>
        <x:v>A</x:v>
      </x:c>
      <x:c r="U2" s="14" t="str">
        <x:v>RHINORY 전원주택 울타리 입점 + 설치/가격 콘텐츠 공동제작</x:v>
      </x:c>
      <x:c r="V2" s="14" t="str">
        <x:v>1차 검증 완료</x:v>
      </x:c>
      <x:c r="W2" s="14" t="n">
        <x:v>5</x:v>
      </x:c>
      <x:c r="X2" s="14" t="str"/>
      <x:c r="Y2" s="14" t="str">
        <x:v>2026-08-13</x:v>
      </x:c>
    </x:row>
    <x:row r="3" ht="42" customHeight="1">
      <x:c r="A3" s="14" t="str">
        <x:v>RHY-002</x:v>
      </x:c>
      <x:c r="B3" s="14" t="str">
        <x:v>S01</x:v>
      </x:c>
      <x:c r="C3" s="14" t="str">
        <x:v>BOUNDARY,GATE</x:v>
      </x:c>
      <x:c r="D3" s="14" t="str">
        <x:v>메쉬휀스·방호울타리</x:v>
      </x:c>
      <x:c r="E3" s="14" t="str">
        <x:v>대진휀스(주)</x:v>
      </x:c>
      <x:c r="F3" s="14" t="str">
        <x:v>제조·판매</x:v>
      </x:c>
      <x:c r="G3" s="14" t="str">
        <x:v>메쉬, 스쿨존 방호울타리, 다양한 휀스</x:v>
      </x:c>
      <x:c r="H3" s="14" t="str">
        <x:v>https://www.daejin.co.kr/</x:v>
      </x:c>
      <x:c r="I3" s="14" t="str">
        <x:v>공식</x:v>
      </x:c>
      <x:c r="J3" s="14" t="str">
        <x:v>제품군과 견적센터 확인</x:v>
      </x:c>
      <x:c r="K3" s="14" t="n">
        <x:v>62</x:v>
      </x:c>
      <x:c r="L3" s="14" t="n">
        <x:v>62</x:v>
      </x:c>
      <x:c r="M3" s="14" t="n">
        <x:v>70</x:v>
      </x:c>
      <x:c r="N3" s="14" t="n">
        <x:v>72</x:v>
      </x:c>
      <x:c r="O3" s="14" t="n">
        <x:v>58</x:v>
      </x:c>
      <x:c r="P3" s="14" t="n">
        <x:v>92</x:v>
      </x:c>
      <x:c r="Q3" s="14" t="n">
        <x:v>82</x:v>
      </x:c>
      <x:c r="R3" s="14" t="n">
        <x:f>ROUND(AVERAGE(K3:O3),0)</x:f>
        <x:v>65</x:v>
      </x:c>
      <x:c r="S3" s="14" t="n">
        <x:f>ROUND(P3*0.45+R3*0.35+Q3*0.20,0)</x:f>
        <x:v>81</x:v>
      </x:c>
      <x:c r="T3" s="14" t="str">
        <x:f>IF(AND(S3&gt;=82,R3&gt;=70,P3&gt;=85),"A",IF(S3&gt;=72,"B",IF(S3&gt;=62,"C","D")))</x:f>
        <x:v>B</x:v>
      </x:c>
      <x:c r="U3" s="14" t="str">
        <x:v>주택용 라인 재구성 + 가격비교/설치가이드로 소비자 채널 확장</x:v>
      </x:c>
      <x:c r="V3" s="14" t="str">
        <x:v>1차 검증 완료</x:v>
      </x:c>
      <x:c r="W3" s="14" t="n">
        <x:v>5</x:v>
      </x:c>
      <x:c r="X3" s="14" t="str"/>
      <x:c r="Y3" s="14" t="str">
        <x:v>2026-08-13</x:v>
      </x:c>
    </x:row>
    <x:row r="4" ht="42" customHeight="1">
      <x:c r="A4" s="14" t="str">
        <x:v>RHY-003</x:v>
      </x:c>
      <x:c r="B4" s="14" t="str">
        <x:v>S01</x:v>
      </x:c>
      <x:c r="C4" s="14" t="str">
        <x:v>BOUNDARY,GATE</x:v>
      </x:c>
      <x:c r="D4" s="14" t="str">
        <x:v>휀스 자재·시공</x:v>
      </x:c>
      <x:c r="E4" s="14" t="str">
        <x:v>세움휀스개발</x:v>
      </x:c>
      <x:c r="F4" s="14" t="str">
        <x:v>납품·시공</x:v>
      </x:c>
      <x:c r="G4" s="14" t="str">
        <x:v>전국 휀스 납품/설치, 메쉬·공장·학교 휀스</x:v>
      </x:c>
      <x:c r="H4" s="14" t="str">
        <x:v>https://www.seumfence.co.kr/</x:v>
      </x:c>
      <x:c r="I4" s="14" t="str">
        <x:v>공식</x:v>
      </x:c>
      <x:c r="J4" s="14" t="str">
        <x:v>전국 자재 납품과 시공 전문</x:v>
      </x:c>
      <x:c r="K4" s="14" t="n">
        <x:v>82</x:v>
      </x:c>
      <x:c r="L4" s="14" t="n">
        <x:v>82</x:v>
      </x:c>
      <x:c r="M4" s="14" t="n">
        <x:v>88</x:v>
      </x:c>
      <x:c r="N4" s="14" t="n">
        <x:v>90</x:v>
      </x:c>
      <x:c r="O4" s="14" t="n">
        <x:v>78</x:v>
      </x:c>
      <x:c r="P4" s="14" t="n">
        <x:v>91</x:v>
      </x:c>
      <x:c r="Q4" s="14" t="n">
        <x:v>76</x:v>
      </x:c>
      <x:c r="R4" s="14" t="n">
        <x:f>ROUND(AVERAGE(K4:O4),0)</x:f>
        <x:v>84</x:v>
      </x:c>
      <x:c r="S4" s="14" t="n">
        <x:f>ROUND(P4*0.45+R4*0.35+Q4*0.20,0)</x:f>
        <x:v>86</x:v>
      </x:c>
      <x:c r="T4" s="14" t="str">
        <x:f>IF(AND(S4&gt;=82,R4&gt;=70,P4&gt;=85),"A",IF(S4&gt;=72,"B",IF(S4&gt;=62,"C","D")))</x:f>
        <x:v>A</x:v>
      </x:c>
      <x:c r="U4" s="14" t="str">
        <x:v>B2B 시공업체를 B2C 전원주택 리드로 연결</x:v>
      </x:c>
      <x:c r="V4" s="14" t="str">
        <x:v>1차 검증 완료</x:v>
      </x:c>
      <x:c r="W4" s="14" t="n">
        <x:v>5</x:v>
      </x:c>
      <x:c r="X4" s="14" t="str"/>
      <x:c r="Y4" s="14" t="str">
        <x:v>2026-08-13</x:v>
      </x:c>
    </x:row>
    <x:row r="5" ht="42" customHeight="1">
      <x:c r="A5" s="14" t="str">
        <x:v>RHY-004</x:v>
      </x:c>
      <x:c r="B5" s="14" t="str">
        <x:v>S01</x:v>
      </x:c>
      <x:c r="C5" s="14" t="str">
        <x:v>BOUNDARY,GATE</x:v>
      </x:c>
      <x:c r="D5" s="14" t="str">
        <x:v>주택울타리·대문</x:v>
      </x:c>
      <x:c r="E5" s="14" t="str">
        <x:v>휀스코리아</x:v>
      </x:c>
      <x:c r="F5" s="14" t="str">
        <x:v>자재·시공</x:v>
      </x:c>
      <x:c r="G5" s="14" t="str">
        <x:v>전국 지점, 주택울타리·메쉬휀스·대문</x:v>
      </x:c>
      <x:c r="H5" s="14" t="str">
        <x:v>https://fence02.cafe24.com/contact/review_list.php</x:v>
      </x:c>
      <x:c r="I5" s="14" t="str">
        <x:v>공식</x:v>
      </x:c>
      <x:c r="J5" s="14" t="str">
        <x:v>자재·시공 전문, 온라인 견적 운영</x:v>
      </x:c>
      <x:c r="K5" s="14" t="n">
        <x:v>62</x:v>
      </x:c>
      <x:c r="L5" s="14" t="n">
        <x:v>62</x:v>
      </x:c>
      <x:c r="M5" s="14" t="n">
        <x:v>70</x:v>
      </x:c>
      <x:c r="N5" s="14" t="n">
        <x:v>72</x:v>
      </x:c>
      <x:c r="O5" s="14" t="n">
        <x:v>58</x:v>
      </x:c>
      <x:c r="P5" s="14" t="n">
        <x:v>90</x:v>
      </x:c>
      <x:c r="Q5" s="14" t="n">
        <x:v>84</x:v>
      </x:c>
      <x:c r="R5" s="14" t="n">
        <x:f>ROUND(AVERAGE(K5:O5),0)</x:f>
        <x:v>65</x:v>
      </x:c>
      <x:c r="S5" s="14" t="n">
        <x:f>ROUND(P5*0.45+R5*0.35+Q5*0.20,0)</x:f>
        <x:v>80</x:v>
      </x:c>
      <x:c r="T5" s="14" t="str">
        <x:f>IF(AND(S5&gt;=82,R5&gt;=70,P5&gt;=85),"A",IF(S5&gt;=72,"B",IF(S5&gt;=62,"C","D")))</x:f>
        <x:v>B</x:v>
      </x:c>
      <x:c r="U5" s="14" t="str">
        <x:v>전원주택 전용 큐레이션/비교견적 제휴</x:v>
      </x:c>
      <x:c r="V5" s="14" t="str">
        <x:v>1차 검증 완료</x:v>
      </x:c>
      <x:c r="W5" s="14" t="n">
        <x:v>4</x:v>
      </x:c>
      <x:c r="X5" s="14" t="str"/>
      <x:c r="Y5" s="14" t="str">
        <x:v>2026-08-13</x:v>
      </x:c>
    </x:row>
    <x:row r="6" ht="42" customHeight="1">
      <x:c r="A6" s="14" t="str">
        <x:v>RHY-005</x:v>
      </x:c>
      <x:c r="B6" s="14" t="str">
        <x:v>S01</x:v>
      </x:c>
      <x:c r="C6" s="14" t="str">
        <x:v>GATE</x:v>
      </x:c>
      <x:c r="D6" s="14" t="str">
        <x:v>자동대문·프리미엄대문</x:v>
      </x:c>
      <x:c r="E6" s="14" t="str">
        <x:v>아라게이트</x:v>
      </x:c>
      <x:c r="F6" s="14" t="str">
        <x:v>직접제작·설치</x:v>
      </x:c>
      <x:c r="G6" s="14" t="str">
        <x:v>맞춤 자동대문, 직접 제작/설치</x:v>
      </x:c>
      <x:c r="H6" s="14" t="str">
        <x:v>https://xn--vk1b2p40pcxn.com/</x:v>
      </x:c>
      <x:c r="I6" s="14" t="str">
        <x:v>공식</x:v>
      </x:c>
      <x:c r="J6" s="14" t="str">
        <x:v>직접 제작과 설치를 강조</x:v>
      </x:c>
      <x:c r="K6" s="14" t="n">
        <x:v>82</x:v>
      </x:c>
      <x:c r="L6" s="14" t="n">
        <x:v>82</x:v>
      </x:c>
      <x:c r="M6" s="14" t="n">
        <x:v>88</x:v>
      </x:c>
      <x:c r="N6" s="14" t="n">
        <x:v>90</x:v>
      </x:c>
      <x:c r="O6" s="14" t="n">
        <x:v>78</x:v>
      </x:c>
      <x:c r="P6" s="14" t="n">
        <x:v>94</x:v>
      </x:c>
      <x:c r="Q6" s="14" t="n">
        <x:v>68</x:v>
      </x:c>
      <x:c r="R6" s="14" t="n">
        <x:f>ROUND(AVERAGE(K6:O6),0)</x:f>
        <x:v>84</x:v>
      </x:c>
      <x:c r="S6" s="14" t="n">
        <x:f>ROUND(P6*0.45+R6*0.35+Q6*0.20,0)</x:f>
        <x:v>85</x:v>
      </x:c>
      <x:c r="T6" s="14" t="str">
        <x:f>IF(AND(S6&gt;=82,R6&gt;=70,P6&gt;=85),"A",IF(S6&gt;=72,"B",IF(S6&gt;=62,"C","D")))</x:f>
        <x:v>A</x:v>
      </x:c>
      <x:c r="U6" s="14" t="str">
        <x:v>자동대문 가격·옵션을 표준화해 RHINORY 견적리드 공급</x:v>
      </x:c>
      <x:c r="V6" s="14" t="str">
        <x:v>1차 검증 완료</x:v>
      </x:c>
      <x:c r="W6" s="14" t="n">
        <x:v>5</x:v>
      </x:c>
      <x:c r="X6" s="14" t="str"/>
      <x:c r="Y6" s="14" t="str">
        <x:v>2026-08-13</x:v>
      </x:c>
    </x:row>
    <x:row r="7" ht="42" customHeight="1">
      <x:c r="A7" s="14" t="str">
        <x:v>RHY-006</x:v>
      </x:c>
      <x:c r="B7" s="14" t="str">
        <x:v>S01</x:v>
      </x:c>
      <x:c r="C7" s="14" t="str">
        <x:v>GATE,BOUNDARY,PARKING</x:v>
      </x:c>
      <x:c r="D7" s="14" t="str">
        <x:v>대문·자동대문·차고문·휀스</x:v>
      </x:c>
      <x:c r="E7" s="14" t="str">
        <x:v>신한게이트</x:v>
      </x:c>
      <x:c r="F7" s="14" t="str">
        <x:v>제작·시공</x:v>
      </x:c>
      <x:c r="G7" s="14" t="str">
        <x:v>전원주택 대문, 자동대문, 차고문, 휀스</x:v>
      </x:c>
      <x:c r="H7" s="14" t="str">
        <x:v>https://shgate.itpage.kr/</x:v>
      </x:c>
      <x:c r="I7" s="14" t="str">
        <x:v>공식</x:v>
      </x:c>
      <x:c r="J7" s="14" t="str">
        <x:v>복수 상품군을 한 업체가 커버</x:v>
      </x:c>
      <x:c r="K7" s="14" t="n">
        <x:v>92</x:v>
      </x:c>
      <x:c r="L7" s="14" t="n">
        <x:v>92</x:v>
      </x:c>
      <x:c r="M7" s="14" t="n">
        <x:v>95</x:v>
      </x:c>
      <x:c r="N7" s="14" t="n">
        <x:v>95</x:v>
      </x:c>
      <x:c r="O7" s="14" t="n">
        <x:v>88</x:v>
      </x:c>
      <x:c r="P7" s="14" t="n">
        <x:v>95</x:v>
      </x:c>
      <x:c r="Q7" s="14" t="n">
        <x:v>96</x:v>
      </x:c>
      <x:c r="R7" s="14" t="n">
        <x:f>ROUND(AVERAGE(K7:O7),0)</x:f>
        <x:v>92</x:v>
      </x:c>
      <x:c r="S7" s="14" t="n">
        <x:f>ROUND(P7*0.45+R7*0.35+Q7*0.20,0)</x:f>
        <x:v>94</x:v>
      </x:c>
      <x:c r="T7" s="14" t="str">
        <x:f>IF(AND(S7&gt;=82,R7&gt;=70,P7&gt;=85),"A",IF(S7&gt;=72,"B",IF(S7&gt;=62,"C","D")))</x:f>
        <x:v>A</x:v>
      </x:c>
      <x:c r="U7" s="14" t="str">
        <x:v>최우선 멀티카테고리 파트너: 대문+차고문+휀스 묶음</x:v>
      </x:c>
      <x:c r="V7" s="14" t="str">
        <x:v>1차 검증 완료</x:v>
      </x:c>
      <x:c r="W7" s="14" t="n">
        <x:v>5</x:v>
      </x:c>
      <x:c r="X7" s="14" t="str"/>
      <x:c r="Y7" s="14" t="str">
        <x:v>2026-08-13</x:v>
      </x:c>
    </x:row>
    <x:row r="8" ht="42" customHeight="1">
      <x:c r="A8" s="14" t="str">
        <x:v>RHY-007</x:v>
      </x:c>
      <x:c r="B8" s="14" t="str">
        <x:v>S01,S05</x:v>
      </x:c>
      <x:c r="C8" s="14" t="str">
        <x:v>GATE,OUTDOOR</x:v>
      </x:c>
      <x:c r="D8" s="14" t="str">
        <x:v>자동대문·파고라·선룸</x:v>
      </x:c>
      <x:c r="E8" s="14" t="str">
        <x:v>다빈치게이트</x:v>
      </x:c>
      <x:c r="F8" s="14" t="str">
        <x:v>설계·제작·시공</x:v>
      </x:c>
      <x:c r="G8" s="14" t="str">
        <x:v>자동대문 설계/제작, 파고라·선룸 연계</x:v>
      </x:c>
      <x:c r="H8" s="14" t="str">
        <x:v>https://www.davincigate.kr/gate</x:v>
      </x:c>
      <x:c r="I8" s="14" t="str">
        <x:v>공식</x:v>
      </x:c>
      <x:c r="J8" s="14" t="str">
        <x:v>자동대문/LPR/RFID 및 외부공간 확장성</x:v>
      </x:c>
      <x:c r="K8" s="14" t="n">
        <x:v>62</x:v>
      </x:c>
      <x:c r="L8" s="14" t="n">
        <x:v>62</x:v>
      </x:c>
      <x:c r="M8" s="14" t="n">
        <x:v>70</x:v>
      </x:c>
      <x:c r="N8" s="14" t="n">
        <x:v>72</x:v>
      </x:c>
      <x:c r="O8" s="14" t="n">
        <x:v>58</x:v>
      </x:c>
      <x:c r="P8" s="14" t="n">
        <x:v>94</x:v>
      </x:c>
      <x:c r="Q8" s="14" t="n">
        <x:v>94</x:v>
      </x:c>
      <x:c r="R8" s="14" t="n">
        <x:f>ROUND(AVERAGE(K8:O8),0)</x:f>
        <x:v>65</x:v>
      </x:c>
      <x:c r="S8" s="14" t="n">
        <x:f>ROUND(P8*0.45+R8*0.35+Q8*0.20,0)</x:f>
        <x:v>84</x:v>
      </x:c>
      <x:c r="T8" s="14" t="str">
        <x:f>IF(AND(S8&gt;=82,R8&gt;=70,P8&gt;=85),"A",IF(S8&gt;=72,"B",IF(S8&gt;=62,"C","D")))</x:f>
        <x:v>B</x:v>
      </x:c>
      <x:c r="U8" s="14" t="str">
        <x:v>게이트에서 시작해 파고라/선룸까지 교차판매 파트너</x:v>
      </x:c>
      <x:c r="V8" s="14" t="str">
        <x:v>1차 검증 완료</x:v>
      </x:c>
      <x:c r="W8" s="14" t="n">
        <x:v>5</x:v>
      </x:c>
      <x:c r="X8" s="14" t="str"/>
      <x:c r="Y8" s="14" t="str">
        <x:v>2026-08-13</x:v>
      </x:c>
    </x:row>
    <x:row r="9" ht="42" customHeight="1">
      <x:c r="A9" s="14" t="str">
        <x:v>RHY-008</x:v>
      </x:c>
      <x:c r="B9" s="14" t="str">
        <x:v>S01</x:v>
      </x:c>
      <x:c r="C9" s="14" t="str">
        <x:v>GATE</x:v>
      </x:c>
      <x:c r="D9" s="14" t="str">
        <x:v>맞춤대문·휀스</x:v>
      </x:c>
      <x:c r="E9" s="14" t="str">
        <x:v>KJ게이트 / 금전금속</x:v>
      </x:c>
      <x:c r="F9" s="14" t="str">
        <x:v>제작</x:v>
      </x:c>
      <x:c r="G9" s="14" t="str">
        <x:v>목재·단조·철재 대문, 디자인 제작</x:v>
      </x:c>
      <x:c r="H9" s="14" t="str">
        <x:v>https://kjgate.co.kr/door/?bmode=view&amp;idx=16855492</x:v>
      </x:c>
      <x:c r="I9" s="14" t="str">
        <x:v>공식</x:v>
      </x:c>
      <x:c r="J9" s="14" t="str">
        <x:v>맞춤 디자인 제작 가능</x:v>
      </x:c>
      <x:c r="K9" s="14" t="n">
        <x:v>82</x:v>
      </x:c>
      <x:c r="L9" s="14" t="n">
        <x:v>82</x:v>
      </x:c>
      <x:c r="M9" s="14" t="n">
        <x:v>88</x:v>
      </x:c>
      <x:c r="N9" s="14" t="n">
        <x:v>90</x:v>
      </x:c>
      <x:c r="O9" s="14" t="n">
        <x:v>78</x:v>
      </x:c>
      <x:c r="P9" s="14" t="n">
        <x:v>90</x:v>
      </x:c>
      <x:c r="Q9" s="14" t="n">
        <x:v>72</x:v>
      </x:c>
      <x:c r="R9" s="14" t="n">
        <x:f>ROUND(AVERAGE(K9:O9),0)</x:f>
        <x:v>84</x:v>
      </x:c>
      <x:c r="S9" s="14" t="n">
        <x:f>ROUND(P9*0.45+R9*0.35+Q9*0.20,0)</x:f>
        <x:v>84</x:v>
      </x:c>
      <x:c r="T9" s="14" t="str">
        <x:f>IF(AND(S9&gt;=82,R9&gt;=70,P9&gt;=85),"A",IF(S9&gt;=72,"B",IF(S9&gt;=62,"C","D")))</x:f>
        <x:v>A</x:v>
      </x:c>
      <x:c r="U9" s="14" t="str">
        <x:v>디자인 대문 컬렉션화 + 맞춤견적 연결</x:v>
      </x:c>
      <x:c r="V9" s="14" t="str">
        <x:v>1차 검증 완료</x:v>
      </x:c>
      <x:c r="W9" s="14" t="n">
        <x:v>4</x:v>
      </x:c>
      <x:c r="X9" s="14" t="str"/>
      <x:c r="Y9" s="14" t="str">
        <x:v>2026-08-13</x:v>
      </x:c>
    </x:row>
    <x:row r="10" ht="42" customHeight="1">
      <x:c r="A10" s="14" t="str">
        <x:v>RHY-009</x:v>
      </x:c>
      <x:c r="B10" s="14" t="str">
        <x:v>S01</x:v>
      </x:c>
      <x:c r="C10" s="14" t="str">
        <x:v>BOUNDARY,GATE</x:v>
      </x:c>
      <x:c r="D10" s="14" t="str">
        <x:v>디자인휀스·대문</x:v>
      </x:c>
      <x:c r="E10" s="14" t="str">
        <x:v>세우메쉬</x:v>
      </x:c>
      <x:c r="F10" s="14" t="str">
        <x:v>제조·판매</x:v>
      </x:c>
      <x:c r="G10" s="14" t="str">
        <x:v>디자인휀스, 메쉬휀스, 대문</x:v>
      </x:c>
      <x:c r="H10" s="14" t="str">
        <x:v>https://www.seawoomesh.co.kr/gnuboard4/bbs/board.php?bo_table=product11&amp;wr_id=2</x:v>
      </x:c>
      <x:c r="I10" s="14" t="str">
        <x:v>공식</x:v>
      </x:c>
      <x:c r="J10" s="14" t="str">
        <x:v>다양한 휀스/대문 제품 페이지</x:v>
      </x:c>
      <x:c r="K10" s="14" t="n">
        <x:v>92</x:v>
      </x:c>
      <x:c r="L10" s="14" t="n">
        <x:v>92</x:v>
      </x:c>
      <x:c r="M10" s="14" t="n">
        <x:v>95</x:v>
      </x:c>
      <x:c r="N10" s="14" t="n">
        <x:v>95</x:v>
      </x:c>
      <x:c r="O10" s="14" t="n">
        <x:v>88</x:v>
      </x:c>
      <x:c r="P10" s="14" t="n">
        <x:v>87</x:v>
      </x:c>
      <x:c r="Q10" s="14" t="n">
        <x:v>74</x:v>
      </x:c>
      <x:c r="R10" s="14" t="n">
        <x:f>ROUND(AVERAGE(K10:O10),0)</x:f>
        <x:v>92</x:v>
      </x:c>
      <x:c r="S10" s="14" t="n">
        <x:f>ROUND(P10*0.45+R10*0.35+Q10*0.20,0)</x:f>
        <x:v>86</x:v>
      </x:c>
      <x:c r="T10" s="14" t="str">
        <x:f>IF(AND(S10&gt;=82,R10&gt;=70,P10&gt;=85),"A",IF(S10&gt;=72,"B",IF(S10&gt;=62,"C","D")))</x:f>
        <x:v>A</x:v>
      </x:c>
      <x:c r="U10" s="14" t="str">
        <x:v>낡은 제품 페이지를 RHINORY에서 소비자 친화적으로 재가공</x:v>
      </x:c>
      <x:c r="V10" s="14" t="str">
        <x:v>1차 검증 완료</x:v>
      </x:c>
      <x:c r="W10" s="14" t="n">
        <x:v>4</x:v>
      </x:c>
      <x:c r="X10" s="14" t="str"/>
      <x:c r="Y10" s="14" t="str">
        <x:v>2026-08-13</x:v>
      </x:c>
    </x:row>
    <x:row r="11" ht="42" customHeight="1">
      <x:c r="A11" s="14" t="str">
        <x:v>RHY-010</x:v>
      </x:c>
      <x:c r="B11" s="14" t="str">
        <x:v>S01</x:v>
      </x:c>
      <x:c r="C11" s="14" t="str">
        <x:v>BOUNDARY</x:v>
      </x:c>
      <x:c r="D11" s="14" t="str">
        <x:v>메쉬·디자인목재휀스</x:v>
      </x:c>
      <x:c r="E11" s="14" t="str">
        <x:v>의정부휀스울타리</x:v>
      </x:c>
      <x:c r="F11" s="14" t="str">
        <x:v>자재·시공</x:v>
      </x:c>
      <x:c r="G11" s="14" t="str">
        <x:v>메쉬/에버그린/목재 휀스 및 대문</x:v>
      </x:c>
      <x:c r="H11" s="14" t="str">
        <x:v>https://ilsin04.co.kr/base/fence/ujbfence/01.php?com_board_category_code=c1</x:v>
      </x:c>
      <x:c r="I11" s="14" t="str">
        <x:v>공식</x:v>
      </x:c>
      <x:c r="J11" s="14" t="str">
        <x:v>제품 카테고리 다수</x:v>
      </x:c>
      <x:c r="K11" s="14" t="n">
        <x:v>92</x:v>
      </x:c>
      <x:c r="L11" s="14" t="n">
        <x:v>92</x:v>
      </x:c>
      <x:c r="M11" s="14" t="n">
        <x:v>95</x:v>
      </x:c>
      <x:c r="N11" s="14" t="n">
        <x:v>95</x:v>
      </x:c>
      <x:c r="O11" s="14" t="n">
        <x:v>88</x:v>
      </x:c>
      <x:c r="P11" s="14" t="n">
        <x:v>85</x:v>
      </x:c>
      <x:c r="Q11" s="14" t="n">
        <x:v>76</x:v>
      </x:c>
      <x:c r="R11" s="14" t="n">
        <x:f>ROUND(AVERAGE(K11:O11),0)</x:f>
        <x:v>92</x:v>
      </x:c>
      <x:c r="S11" s="14" t="n">
        <x:f>ROUND(P11*0.45+R11*0.35+Q11*0.20,0)</x:f>
        <x:v>86</x:v>
      </x:c>
      <x:c r="T11" s="14" t="str">
        <x:f>IF(AND(S11&gt;=82,R11&gt;=70,P11&gt;=85),"A",IF(S11&gt;=72,"B",IF(S11&gt;=62,"C","D")))</x:f>
        <x:v>A</x:v>
      </x:c>
      <x:c r="U11" s="14" t="str">
        <x:v>지역 시공사 네트워크 후보 + 표준 견적 콘텐츠</x:v>
      </x:c>
      <x:c r="V11" s="14" t="str">
        <x:v>1차 검증 완료</x:v>
      </x:c>
      <x:c r="W11" s="14" t="n">
        <x:v>4</x:v>
      </x:c>
      <x:c r="X11" s="14" t="str"/>
      <x:c r="Y11" s="14" t="str">
        <x:v>2026-08-13</x:v>
      </x:c>
    </x:row>
    <x:row r="12" ht="42" customHeight="1">
      <x:c r="A12" s="14" t="str">
        <x:v>RHY-011</x:v>
      </x:c>
      <x:c r="B12" s="14" t="str">
        <x:v>S02</x:v>
      </x:c>
      <x:c r="C12" s="14" t="str">
        <x:v>PARKING,POWER</x:v>
      </x:c>
      <x:c r="D12" s="14" t="str">
        <x:v>EV 충전기</x:v>
      </x:c>
      <x:c r="E12" s="14" t="str">
        <x:v>남부산전(주)</x:v>
      </x:c>
      <x:c r="F12" s="14" t="str">
        <x:v>충전기/전력</x:v>
      </x:c>
      <x:c r="G12" s="14" t="str">
        <x:v>전기차 충전업체 리스트 등재</x:v>
      </x:c>
      <x:c r="H12" s="14" t="str">
        <x:v>https://namboo.co.kr</x:v>
      </x:c>
      <x:c r="I12" s="14" t="str">
        <x:v>산업 디렉토리 경유</x:v>
      </x:c>
      <x:c r="J12" s="14" t="str">
        <x:v>국내 충전회사 리스트에 공식 홈페이지와 연락처 등재</x:v>
      </x:c>
      <x:c r="K12" s="14" t="n">
        <x:v>82</x:v>
      </x:c>
      <x:c r="L12" s="14" t="n">
        <x:v>82</x:v>
      </x:c>
      <x:c r="M12" s="14" t="n">
        <x:v>88</x:v>
      </x:c>
      <x:c r="N12" s="14" t="n">
        <x:v>90</x:v>
      </x:c>
      <x:c r="O12" s="14" t="n">
        <x:v>78</x:v>
      </x:c>
      <x:c r="P12" s="14" t="n">
        <x:v>80</x:v>
      </x:c>
      <x:c r="Q12" s="14" t="n">
        <x:v>60</x:v>
      </x:c>
      <x:c r="R12" s="14" t="n">
        <x:f>ROUND(AVERAGE(K12:O12),0)</x:f>
        <x:v>84</x:v>
      </x:c>
      <x:c r="S12" s="14" t="n">
        <x:f>ROUND(P12*0.45+R12*0.35+Q12*0.20,0)</x:f>
        <x:v>77</x:v>
      </x:c>
      <x:c r="T12" s="14" t="str">
        <x:f>IF(AND(S12&gt;=82,R12&gt;=70,P12&gt;=85),"A",IF(S12&gt;=72,"B",IF(S12&gt;=62,"C","D")))</x:f>
        <x:v>B</x:v>
      </x:c>
      <x:c r="U12" s="14" t="str">
        <x:v>전원주택용 완속충전 패키지 공급 가능성 확인</x:v>
      </x:c>
      <x:c r="V12" s="14" t="str">
        <x:v>공식사이트 재검증 필요</x:v>
      </x:c>
      <x:c r="W12" s="14" t="n">
        <x:v>3</x:v>
      </x:c>
      <x:c r="X12" s="14" t="str"/>
      <x:c r="Y12" s="14" t="str">
        <x:v>2026-08-13</x:v>
      </x:c>
    </x:row>
    <x:row r="13" ht="42" customHeight="1">
      <x:c r="A13" s="14" t="str">
        <x:v>RHY-012</x:v>
      </x:c>
      <x:c r="B13" s="14" t="str">
        <x:v>S02</x:v>
      </x:c>
      <x:c r="C13" s="14" t="str">
        <x:v>PARKING,POWER</x:v>
      </x:c>
      <x:c r="D13" s="14" t="str">
        <x:v>EV 충전기</x:v>
      </x:c>
      <x:c r="E13" s="14" t="str">
        <x:v>(주)레드이엔지</x:v>
      </x:c>
      <x:c r="F13" s="14" t="str">
        <x:v>제조·운영</x:v>
      </x:c>
      <x:c r="G13" s="14" t="str">
        <x:v>알차저/핫샷</x:v>
      </x:c>
      <x:c r="H13" s="14" t="str">
        <x:v>https://www.redeng.co.kr</x:v>
      </x:c>
      <x:c r="I13" s="14" t="str">
        <x:v>산업 디렉토리 경유</x:v>
      </x:c>
      <x:c r="J13" s="14" t="str">
        <x:v>충전업체 리스트 등재</x:v>
      </x:c>
      <x:c r="K13" s="14" t="n">
        <x:v>82</x:v>
      </x:c>
      <x:c r="L13" s="14" t="n">
        <x:v>82</x:v>
      </x:c>
      <x:c r="M13" s="14" t="n">
        <x:v>88</x:v>
      </x:c>
      <x:c r="N13" s="14" t="n">
        <x:v>90</x:v>
      </x:c>
      <x:c r="O13" s="14" t="n">
        <x:v>78</x:v>
      </x:c>
      <x:c r="P13" s="14" t="n">
        <x:v>82</x:v>
      </x:c>
      <x:c r="Q13" s="14" t="n">
        <x:v>60</x:v>
      </x:c>
      <x:c r="R13" s="14" t="n">
        <x:f>ROUND(AVERAGE(K13:O13),0)</x:f>
        <x:v>84</x:v>
      </x:c>
      <x:c r="S13" s="14" t="n">
        <x:f>ROUND(P13*0.45+R13*0.35+Q13*0.20,0)</x:f>
        <x:v>78</x:v>
      </x:c>
      <x:c r="T13" s="14" t="str">
        <x:f>IF(AND(S13&gt;=82,R13&gt;=70,P13&gt;=85),"A",IF(S13&gt;=72,"B",IF(S13&gt;=62,"C","D")))</x:f>
        <x:v>B</x:v>
      </x:c>
      <x:c r="U13" s="14" t="str">
        <x:v>가정용/소형사업장 완속충전 공급조건 확인</x:v>
      </x:c>
      <x:c r="V13" s="14" t="str">
        <x:v>공식사이트 재검증 필요</x:v>
      </x:c>
      <x:c r="W13" s="14" t="n">
        <x:v>3</x:v>
      </x:c>
      <x:c r="X13" s="14" t="str"/>
      <x:c r="Y13" s="14" t="str">
        <x:v>2026-08-13</x:v>
      </x:c>
    </x:row>
    <x:row r="14" ht="42" customHeight="1">
      <x:c r="A14" s="14" t="str">
        <x:v>RHY-013</x:v>
      </x:c>
      <x:c r="B14" s="14" t="str">
        <x:v>S02</x:v>
      </x:c>
      <x:c r="C14" s="14" t="str">
        <x:v>PARKING,POWER,SMART</x:v>
      </x:c>
      <x:c r="D14" s="14" t="str">
        <x:v>EV 충전기</x:v>
      </x:c>
      <x:c r="E14" s="14" t="str">
        <x:v>(주)매니지온</x:v>
      </x:c>
      <x:c r="F14" s="14" t="str">
        <x:v>제조·솔루션</x:v>
      </x:c>
      <x:c r="G14" s="14" t="str">
        <x:v>이볼트·미콘 충전 솔루션</x:v>
      </x:c>
      <x:c r="H14" s="14" t="str">
        <x:v>https://m-evolt.com</x:v>
      </x:c>
      <x:c r="I14" s="14" t="str">
        <x:v>산업 디렉토리 경유</x:v>
      </x:c>
      <x:c r="J14" s="14" t="str">
        <x:v>국내 충전업체 리스트 등재</x:v>
      </x:c>
      <x:c r="K14" s="14" t="n">
        <x:v>62</x:v>
      </x:c>
      <x:c r="L14" s="14" t="n">
        <x:v>62</x:v>
      </x:c>
      <x:c r="M14" s="14" t="n">
        <x:v>70</x:v>
      </x:c>
      <x:c r="N14" s="14" t="n">
        <x:v>72</x:v>
      </x:c>
      <x:c r="O14" s="14" t="n">
        <x:v>58</x:v>
      </x:c>
      <x:c r="P14" s="14" t="n">
        <x:v>84</x:v>
      </x:c>
      <x:c r="Q14" s="14" t="n">
        <x:v>66</x:v>
      </x:c>
      <x:c r="R14" s="14" t="n">
        <x:f>ROUND(AVERAGE(K14:O14),0)</x:f>
        <x:v>65</x:v>
      </x:c>
      <x:c r="S14" s="14" t="n">
        <x:f>ROUND(P14*0.45+R14*0.35+Q14*0.20,0)</x:f>
        <x:v>74</x:v>
      </x:c>
      <x:c r="T14" s="14" t="str">
        <x:f>IF(AND(S14&gt;=82,R14&gt;=70,P14&gt;=85),"A",IF(S14&gt;=72,"B",IF(S14&gt;=62,"C","D")))</x:f>
        <x:v>B</x:v>
      </x:c>
      <x:c r="U14" s="14" t="str">
        <x:v>스마트 전력/충전 묶음 상품 가능성 확인</x:v>
      </x:c>
      <x:c r="V14" s="14" t="str">
        <x:v>공식사이트 재검증 필요</x:v>
      </x:c>
      <x:c r="W14" s="14" t="n">
        <x:v>3</x:v>
      </x:c>
      <x:c r="X14" s="14" t="str"/>
      <x:c r="Y14" s="14" t="str">
        <x:v>2026-08-13</x:v>
      </x:c>
    </x:row>
    <x:row r="15" ht="42" customHeight="1">
      <x:c r="A15" s="14" t="str">
        <x:v>RHY-014</x:v>
      </x:c>
      <x:c r="B15" s="14" t="str">
        <x:v>S02</x:v>
      </x:c>
      <x:c r="C15" s="14" t="str">
        <x:v>PARKING,POWER</x:v>
      </x:c>
      <x:c r="D15" s="14" t="str">
        <x:v>EV 충전기</x:v>
      </x:c>
      <x:c r="E15" s="14" t="str">
        <x:v>(주)모던텍</x:v>
      </x:c>
      <x:c r="F15" s="14" t="str">
        <x:v>제조</x:v>
      </x:c>
      <x:c r="G15" s="14" t="str">
        <x:v>전기차 충전 솔루션</x:v>
      </x:c>
      <x:c r="H15" s="14" t="str">
        <x:v>https://www.moderntec.kr</x:v>
      </x:c>
      <x:c r="I15" s="14" t="str">
        <x:v>산업 디렉토리 경유</x:v>
      </x:c>
      <x:c r="J15" s="14" t="str">
        <x:v>국내 충전업체 리스트 등재</x:v>
      </x:c>
      <x:c r="K15" s="14" t="n">
        <x:v>62</x:v>
      </x:c>
      <x:c r="L15" s="14" t="n">
        <x:v>62</x:v>
      </x:c>
      <x:c r="M15" s="14" t="n">
        <x:v>70</x:v>
      </x:c>
      <x:c r="N15" s="14" t="n">
        <x:v>72</x:v>
      </x:c>
      <x:c r="O15" s="14" t="n">
        <x:v>58</x:v>
      </x:c>
      <x:c r="P15" s="14" t="n">
        <x:v>86</x:v>
      </x:c>
      <x:c r="Q15" s="14" t="n">
        <x:v>60</x:v>
      </x:c>
      <x:c r="R15" s="14" t="n">
        <x:f>ROUND(AVERAGE(K15:O15),0)</x:f>
        <x:v>65</x:v>
      </x:c>
      <x:c r="S15" s="14" t="n">
        <x:f>ROUND(P15*0.45+R15*0.35+Q15*0.20,0)</x:f>
        <x:v>73</x:v>
      </x:c>
      <x:c r="T15" s="14" t="str">
        <x:f>IF(AND(S15&gt;=82,R15&gt;=70,P15&gt;=85),"A",IF(S15&gt;=72,"B",IF(S15&gt;=62,"C","D")))</x:f>
        <x:v>B</x:v>
      </x:c>
      <x:c r="U15" s="14" t="str">
        <x:v>주택용 제품/대리점·리셀러 정책 확인</x:v>
      </x:c>
      <x:c r="V15" s="14" t="str">
        <x:v>공식사이트 재검증 필요</x:v>
      </x:c>
      <x:c r="W15" s="14" t="n">
        <x:v>3</x:v>
      </x:c>
      <x:c r="X15" s="14" t="str"/>
      <x:c r="Y15" s="14" t="str">
        <x:v>2026-08-13</x:v>
      </x:c>
    </x:row>
    <x:row r="16" ht="42" customHeight="1">
      <x:c r="A16" s="14" t="str">
        <x:v>RHY-015</x:v>
      </x:c>
      <x:c r="B16" s="14" t="str">
        <x:v>S02</x:v>
      </x:c>
      <x:c r="C16" s="14" t="str">
        <x:v>PARKING,POWER</x:v>
      </x:c>
      <x:c r="D16" s="14" t="str">
        <x:v>EV 충전기</x:v>
      </x:c>
      <x:c r="E16" s="14" t="str">
        <x:v>모트렉스이브이(주)</x:v>
      </x:c>
      <x:c r="F16" s="14" t="str">
        <x:v>충전 솔루션</x:v>
      </x:c>
      <x:c r="G16" s="14" t="str">
        <x:v>EV 충전</x:v>
      </x:c>
      <x:c r="H16" s="14" t="str">
        <x:v>https://www.motrexev.com</x:v>
      </x:c>
      <x:c r="I16" s="14" t="str">
        <x:v>산업 디렉토리 경유</x:v>
      </x:c>
      <x:c r="J16" s="14" t="str">
        <x:v>국내 충전업체 리스트 등재</x:v>
      </x:c>
      <x:c r="K16" s="14" t="n">
        <x:v>62</x:v>
      </x:c>
      <x:c r="L16" s="14" t="n">
        <x:v>62</x:v>
      </x:c>
      <x:c r="M16" s="14" t="n">
        <x:v>70</x:v>
      </x:c>
      <x:c r="N16" s="14" t="n">
        <x:v>72</x:v>
      </x:c>
      <x:c r="O16" s="14" t="n">
        <x:v>58</x:v>
      </x:c>
      <x:c r="P16" s="14" t="n">
        <x:v>80</x:v>
      </x:c>
      <x:c r="Q16" s="14" t="n">
        <x:v>58</x:v>
      </x:c>
      <x:c r="R16" s="14" t="n">
        <x:f>ROUND(AVERAGE(K16:O16),0)</x:f>
        <x:v>65</x:v>
      </x:c>
      <x:c r="S16" s="14" t="n">
        <x:f>ROUND(P16*0.45+R16*0.35+Q16*0.20,0)</x:f>
        <x:v>70</x:v>
      </x:c>
      <x:c r="T16" s="14" t="str">
        <x:f>IF(AND(S16&gt;=82,R16&gt;=70,P16&gt;=85),"A",IF(S16&gt;=72,"B",IF(S16&gt;=62,"C","D")))</x:f>
        <x:v>C</x:v>
      </x:c>
      <x:c r="U16" s="14" t="str">
        <x:v>단독주택 완속충전 SKU 발굴</x:v>
      </x:c>
      <x:c r="V16" s="14" t="str">
        <x:v>공식사이트 재검증 필요</x:v>
      </x:c>
      <x:c r="W16" s="14" t="n">
        <x:v>3</x:v>
      </x:c>
      <x:c r="X16" s="14" t="str"/>
      <x:c r="Y16" s="14" t="str">
        <x:v>2026-08-13</x:v>
      </x:c>
    </x:row>
    <x:row r="17" ht="42" customHeight="1">
      <x:c r="A17" s="14" t="str">
        <x:v>RHY-016</x:v>
      </x:c>
      <x:c r="B17" s="14" t="str">
        <x:v>S02</x:v>
      </x:c>
      <x:c r="C17" s="14" t="str">
        <x:v>PARKING,POWER</x:v>
      </x:c>
      <x:c r="D17" s="14" t="str">
        <x:v>EV 충전기</x:v>
      </x:c>
      <x:c r="E17" s="14" t="str">
        <x:v>보타리에너지(주)</x:v>
      </x:c>
      <x:c r="F17" s="14" t="str">
        <x:v>충전 솔루션</x:v>
      </x:c>
      <x:c r="G17" s="14" t="str">
        <x:v>EV 충전기/서비스</x:v>
      </x:c>
      <x:c r="H17" s="14" t="str">
        <x:v>https://www.botari.co.kr</x:v>
      </x:c>
      <x:c r="I17" s="14" t="str">
        <x:v>산업 디렉토리 경유</x:v>
      </x:c>
      <x:c r="J17" s="14" t="str">
        <x:v>국내 충전업체 리스트 등재</x:v>
      </x:c>
      <x:c r="K17" s="14" t="n">
        <x:v>82</x:v>
      </x:c>
      <x:c r="L17" s="14" t="n">
        <x:v>82</x:v>
      </x:c>
      <x:c r="M17" s="14" t="n">
        <x:v>88</x:v>
      </x:c>
      <x:c r="N17" s="14" t="n">
        <x:v>90</x:v>
      </x:c>
      <x:c r="O17" s="14" t="n">
        <x:v>78</x:v>
      </x:c>
      <x:c r="P17" s="14" t="n">
        <x:v>84</x:v>
      </x:c>
      <x:c r="Q17" s="14" t="n">
        <x:v>62</x:v>
      </x:c>
      <x:c r="R17" s="14" t="n">
        <x:f>ROUND(AVERAGE(K17:O17),0)</x:f>
        <x:v>84</x:v>
      </x:c>
      <x:c r="S17" s="14" t="n">
        <x:f>ROUND(P17*0.45+R17*0.35+Q17*0.20,0)</x:f>
        <x:v>80</x:v>
      </x:c>
      <x:c r="T17" s="14" t="str">
        <x:f>IF(AND(S17&gt;=82,R17&gt;=70,P17&gt;=85),"A",IF(S17&gt;=72,"B",IF(S17&gt;=62,"C","D")))</x:f>
        <x:v>B</x:v>
      </x:c>
      <x:c r="U17" s="14" t="str">
        <x:v>공급가/설치지역/AS 조건 확인</x:v>
      </x:c>
      <x:c r="V17" s="14" t="str">
        <x:v>공식사이트 재검증 필요</x:v>
      </x:c>
      <x:c r="W17" s="14" t="n">
        <x:v>3</x:v>
      </x:c>
      <x:c r="X17" s="14" t="str"/>
      <x:c r="Y17" s="14" t="str">
        <x:v>2026-08-13</x:v>
      </x:c>
    </x:row>
    <x:row r="18" ht="42" customHeight="1">
      <x:c r="A18" s="14" t="str">
        <x:v>RHY-017</x:v>
      </x:c>
      <x:c r="B18" s="14" t="str">
        <x:v>S02</x:v>
      </x:c>
      <x:c r="C18" s="14" t="str">
        <x:v>PARKING,POWER</x:v>
      </x:c>
      <x:c r="D18" s="14" t="str">
        <x:v>EV 충전기</x:v>
      </x:c>
      <x:c r="E18" s="14" t="str">
        <x:v>(주)삼성이브이씨</x:v>
      </x:c>
      <x:c r="F18" s="14" t="str">
        <x:v>충전 솔루션</x:v>
      </x:c>
      <x:c r="G18" s="14" t="str">
        <x:v>EV 충전기</x:v>
      </x:c>
      <x:c r="H18" s="14" t="str">
        <x:v>https://samsungevc.com</x:v>
      </x:c>
      <x:c r="I18" s="14" t="str">
        <x:v>산업 디렉토리 경유</x:v>
      </x:c>
      <x:c r="J18" s="14" t="str">
        <x:v>국내 충전업체 리스트 등재</x:v>
      </x:c>
      <x:c r="K18" s="14" t="n">
        <x:v>82</x:v>
      </x:c>
      <x:c r="L18" s="14" t="n">
        <x:v>82</x:v>
      </x:c>
      <x:c r="M18" s="14" t="n">
        <x:v>88</x:v>
      </x:c>
      <x:c r="N18" s="14" t="n">
        <x:v>90</x:v>
      </x:c>
      <x:c r="O18" s="14" t="n">
        <x:v>78</x:v>
      </x:c>
      <x:c r="P18" s="14" t="n">
        <x:v>85</x:v>
      </x:c>
      <x:c r="Q18" s="14" t="n">
        <x:v>60</x:v>
      </x:c>
      <x:c r="R18" s="14" t="n">
        <x:f>ROUND(AVERAGE(K18:O18),0)</x:f>
        <x:v>84</x:v>
      </x:c>
      <x:c r="S18" s="14" t="n">
        <x:f>ROUND(P18*0.45+R18*0.35+Q18*0.20,0)</x:f>
        <x:v>80</x:v>
      </x:c>
      <x:c r="T18" s="14" t="str">
        <x:f>IF(AND(S18&gt;=82,R18&gt;=70,P18&gt;=85),"A",IF(S18&gt;=72,"B",IF(S18&gt;=62,"C","D")))</x:f>
        <x:v>B</x:v>
      </x:c>
      <x:c r="U18" s="14" t="str">
        <x:v>가정용 충전기 리셀러/설치연결 모델 제안</x:v>
      </x:c>
      <x:c r="V18" s="14" t="str">
        <x:v>공식사이트 재검증 필요</x:v>
      </x:c>
      <x:c r="W18" s="14" t="n">
        <x:v>3</x:v>
      </x:c>
      <x:c r="X18" s="14" t="str"/>
      <x:c r="Y18" s="14" t="str">
        <x:v>2026-08-13</x:v>
      </x:c>
    </x:row>
    <x:row r="19" ht="42" customHeight="1">
      <x:c r="A19" s="14" t="str">
        <x:v>RHY-018</x:v>
      </x:c>
      <x:c r="B19" s="14" t="str">
        <x:v>S02</x:v>
      </x:c>
      <x:c r="C19" s="14" t="str">
        <x:v>PARKING,POWER,SMART</x:v>
      </x:c>
      <x:c r="D19" s="14" t="str">
        <x:v>EV 충전기</x:v>
      </x:c>
      <x:c r="E19" s="14" t="str">
        <x:v>(주)스타코프</x:v>
      </x:c>
      <x:c r="F19" s="14" t="str">
        <x:v>충전 플랫폼·장비</x:v>
      </x:c>
      <x:c r="G19" s="14" t="str">
        <x:v>차지콘</x:v>
      </x:c>
      <x:c r="H19" s="14" t="str">
        <x:v>https://www.starkoff.co.kr</x:v>
      </x:c>
      <x:c r="I19" s="14" t="str">
        <x:v>산업 디렉토리 경유</x:v>
      </x:c>
      <x:c r="J19" s="14" t="str">
        <x:v>국내 충전업체 리스트 등재</x:v>
      </x:c>
      <x:c r="K19" s="14" t="n">
        <x:v>62</x:v>
      </x:c>
      <x:c r="L19" s="14" t="n">
        <x:v>62</x:v>
      </x:c>
      <x:c r="M19" s="14" t="n">
        <x:v>70</x:v>
      </x:c>
      <x:c r="N19" s="14" t="n">
        <x:v>72</x:v>
      </x:c>
      <x:c r="O19" s="14" t="n">
        <x:v>58</x:v>
      </x:c>
      <x:c r="P19" s="14" t="n">
        <x:v>82</x:v>
      </x:c>
      <x:c r="Q19" s="14" t="n">
        <x:v>66</x:v>
      </x:c>
      <x:c r="R19" s="14" t="n">
        <x:f>ROUND(AVERAGE(K19:O19),0)</x:f>
        <x:v>65</x:v>
      </x:c>
      <x:c r="S19" s="14" t="n">
        <x:f>ROUND(P19*0.45+R19*0.35+Q19*0.20,0)</x:f>
        <x:v>73</x:v>
      </x:c>
      <x:c r="T19" s="14" t="str">
        <x:f>IF(AND(S19&gt;=82,R19&gt;=70,P19&gt;=85),"A",IF(S19&gt;=72,"B",IF(S19&gt;=62,"C","D")))</x:f>
        <x:v>B</x:v>
      </x:c>
      <x:c r="U19" s="14" t="str">
        <x:v>충전장비+운영플랫폼 패키지 가능성 확인</x:v>
      </x:c>
      <x:c r="V19" s="14" t="str">
        <x:v>공식사이트 재검증 필요</x:v>
      </x:c>
      <x:c r="W19" s="14" t="n">
        <x:v>3</x:v>
      </x:c>
      <x:c r="X19" s="14" t="str"/>
      <x:c r="Y19" s="14" t="str">
        <x:v>2026-08-13</x:v>
      </x:c>
    </x:row>
    <x:row r="20" ht="42" customHeight="1">
      <x:c r="A20" s="14" t="str">
        <x:v>RHY-019</x:v>
      </x:c>
      <x:c r="B20" s="14" t="str">
        <x:v>S02</x:v>
      </x:c>
      <x:c r="C20" s="14" t="str">
        <x:v>PARKING,POWER</x:v>
      </x:c>
      <x:c r="D20" s="14" t="str">
        <x:v>EV 충전기</x:v>
      </x:c>
      <x:c r="E20" s="14" t="str">
        <x:v>(주)씨어스</x:v>
      </x:c>
      <x:c r="F20" s="14" t="str">
        <x:v>충전 솔루션</x:v>
      </x:c>
      <x:c r="G20" s="14" t="str">
        <x:v>EV 충전</x:v>
      </x:c>
      <x:c r="H20" s="14" t="str">
        <x:v>https://www.cus21.co.kr</x:v>
      </x:c>
      <x:c r="I20" s="14" t="str">
        <x:v>산업 디렉토리 경유</x:v>
      </x:c>
      <x:c r="J20" s="14" t="str">
        <x:v>국내 충전업체 리스트 등재</x:v>
      </x:c>
      <x:c r="K20" s="14" t="n">
        <x:v>82</x:v>
      </x:c>
      <x:c r="L20" s="14" t="n">
        <x:v>82</x:v>
      </x:c>
      <x:c r="M20" s="14" t="n">
        <x:v>88</x:v>
      </x:c>
      <x:c r="N20" s="14" t="n">
        <x:v>90</x:v>
      </x:c>
      <x:c r="O20" s="14" t="n">
        <x:v>78</x:v>
      </x:c>
      <x:c r="P20" s="14" t="n">
        <x:v>78</x:v>
      </x:c>
      <x:c r="Q20" s="14" t="n">
        <x:v>55</x:v>
      </x:c>
      <x:c r="R20" s="14" t="n">
        <x:f>ROUND(AVERAGE(K20:O20),0)</x:f>
        <x:v>84</x:v>
      </x:c>
      <x:c r="S20" s="14" t="n">
        <x:f>ROUND(P20*0.45+R20*0.35+Q20*0.20,0)</x:f>
        <x:v>76</x:v>
      </x:c>
      <x:c r="T20" s="14" t="str">
        <x:f>IF(AND(S20&gt;=82,R20&gt;=70,P20&gt;=85),"A",IF(S20&gt;=72,"B",IF(S20&gt;=62,"C","D")))</x:f>
        <x:v>B</x:v>
      </x:c>
      <x:c r="U20" s="14" t="str">
        <x:v>가정용 설치/공급 여부 우선 확인</x:v>
      </x:c>
      <x:c r="V20" s="14" t="str">
        <x:v>공식사이트 재검증 필요</x:v>
      </x:c>
      <x:c r="W20" s="14" t="n">
        <x:v>3</x:v>
      </x:c>
      <x:c r="X20" s="14" t="str"/>
      <x:c r="Y20" s="14" t="str">
        <x:v>2026-08-13</x:v>
      </x:c>
    </x:row>
    <x:row r="21" ht="42" customHeight="1">
      <x:c r="A21" s="14" t="str">
        <x:v>RHY-020</x:v>
      </x:c>
      <x:c r="B21" s="14" t="str">
        <x:v>S02</x:v>
      </x:c>
      <x:c r="C21" s="14" t="str">
        <x:v>PARKING,POWER</x:v>
      </x:c>
      <x:c r="D21" s="14" t="str">
        <x:v>EV 충전기</x:v>
      </x:c>
      <x:c r="E21" s="14" t="str">
        <x:v>(주)애플망고</x:v>
      </x:c>
      <x:c r="F21" s="14" t="str">
        <x:v>충전 솔루션</x:v>
      </x:c>
      <x:c r="G21" s="14" t="str">
        <x:v>EV 충전</x:v>
      </x:c>
      <x:c r="H21" s="14" t="str">
        <x:v>https://applemango.co.kr</x:v>
      </x:c>
      <x:c r="I21" s="14" t="str">
        <x:v>산업 디렉토리 경유</x:v>
      </x:c>
      <x:c r="J21" s="14" t="str">
        <x:v>국내 충전업체 리스트 등재</x:v>
      </x:c>
      <x:c r="K21" s="14" t="n">
        <x:v>82</x:v>
      </x:c>
      <x:c r="L21" s="14" t="n">
        <x:v>82</x:v>
      </x:c>
      <x:c r="M21" s="14" t="n">
        <x:v>88</x:v>
      </x:c>
      <x:c r="N21" s="14" t="n">
        <x:v>90</x:v>
      </x:c>
      <x:c r="O21" s="14" t="n">
        <x:v>78</x:v>
      </x:c>
      <x:c r="P21" s="14" t="n">
        <x:v>83</x:v>
      </x:c>
      <x:c r="Q21" s="14" t="n">
        <x:v>58</x:v>
      </x:c>
      <x:c r="R21" s="14" t="n">
        <x:f>ROUND(AVERAGE(K21:O21),0)</x:f>
        <x:v>84</x:v>
      </x:c>
      <x:c r="S21" s="14" t="n">
        <x:f>ROUND(P21*0.45+R21*0.35+Q21*0.20,0)</x:f>
        <x:v>78</x:v>
      </x:c>
      <x:c r="T21" s="14" t="str">
        <x:f>IF(AND(S21&gt;=82,R21&gt;=70,P21&gt;=85),"A",IF(S21&gt;=72,"B",IF(S21&gt;=62,"C","D")))</x:f>
        <x:v>B</x:v>
      </x:c>
      <x:c r="U21" s="14" t="str">
        <x:v>전원주택 완속충전 공급/설치 파트너 검토</x:v>
      </x:c>
      <x:c r="V21" s="14" t="str">
        <x:v>공식사이트 재검증 필요</x:v>
      </x:c>
      <x:c r="W21" s="14" t="n">
        <x:v>3</x:v>
      </x:c>
      <x:c r="X21" s="14" t="str"/>
      <x:c r="Y21" s="14" t="str">
        <x:v>2026-08-13</x:v>
      </x:c>
    </x:row>
    <x:row r="22" ht="42" customHeight="1">
      <x:c r="A22" s="14" t="str">
        <x:v>RHY-021</x:v>
      </x:c>
      <x:c r="B22" s="14" t="str">
        <x:v>S02</x:v>
      </x:c>
      <x:c r="C22" s="14" t="str">
        <x:v>PARKING,POWER,SMART</x:v>
      </x:c>
      <x:c r="D22" s="14" t="str">
        <x:v>EV 충전기</x:v>
      </x:c>
      <x:c r="E22" s="14" t="str">
        <x:v>(주)에바</x:v>
      </x:c>
      <x:c r="F22" s="14" t="str">
        <x:v>제조·충전 솔루션</x:v>
      </x:c>
      <x:c r="G22" s="14" t="str">
        <x:v>EV 충전 하드웨어/솔루션</x:v>
      </x:c>
      <x:c r="H22" s="14" t="str">
        <x:v>https://ko.evar.co.kr</x:v>
      </x:c>
      <x:c r="I22" s="14" t="str">
        <x:v>산업 디렉토리 경유</x:v>
      </x:c>
      <x:c r="J22" s="14" t="str">
        <x:v>국내 충전업체 리스트 등재</x:v>
      </x:c>
      <x:c r="K22" s="14" t="n">
        <x:v>38</x:v>
      </x:c>
      <x:c r="L22" s="14" t="n">
        <x:v>38</x:v>
      </x:c>
      <x:c r="M22" s="14" t="n">
        <x:v>45</x:v>
      </x:c>
      <x:c r="N22" s="14" t="n">
        <x:v>48</x:v>
      </x:c>
      <x:c r="O22" s="14" t="n">
        <x:v>35</x:v>
      </x:c>
      <x:c r="P22" s="14" t="n">
        <x:v>88</x:v>
      </x:c>
      <x:c r="Q22" s="14" t="n">
        <x:v>70</x:v>
      </x:c>
      <x:c r="R22" s="14" t="n">
        <x:f>ROUND(AVERAGE(K22:O22),0)</x:f>
        <x:v>41</x:v>
      </x:c>
      <x:c r="S22" s="14" t="n">
        <x:f>ROUND(P22*0.45+R22*0.35+Q22*0.20,0)</x:f>
        <x:v>68</x:v>
      </x:c>
      <x:c r="T22" s="14" t="str">
        <x:f>IF(AND(S22&gt;=82,R22&gt;=70,P22&gt;=85),"A",IF(S22&gt;=72,"B",IF(S22&gt;=62,"C","D")))</x:f>
        <x:v>C</x:v>
      </x:c>
      <x:c r="U22" s="14" t="str">
        <x:v>기술력은 높으므로 AEO보단 상품/설치 제휴 관점</x:v>
      </x:c>
      <x:c r="V22" s="14" t="str">
        <x:v>공식사이트 재검증 필요</x:v>
      </x:c>
      <x:c r="W22" s="14" t="n">
        <x:v>4</x:v>
      </x:c>
      <x:c r="X22" s="14" t="str"/>
      <x:c r="Y22" s="14" t="str">
        <x:v>2026-08-13</x:v>
      </x:c>
    </x:row>
    <x:row r="23" ht="42" customHeight="1">
      <x:c r="A23" s="14" t="str">
        <x:v>RHY-022</x:v>
      </x:c>
      <x:c r="B23" s="14" t="str">
        <x:v>S02</x:v>
      </x:c>
      <x:c r="C23" s="14" t="str">
        <x:v>PARKING,POWER</x:v>
      </x:c>
      <x:c r="D23" s="14" t="str">
        <x:v>EV 충전기</x:v>
      </x:c>
      <x:c r="E23" s="14" t="str">
        <x:v>블루네트웍스</x:v>
      </x:c>
      <x:c r="F23" s="14" t="str">
        <x:v>제조·유지보수</x:v>
      </x:c>
      <x:c r="G23" s="14" t="str">
        <x:v>고효율 충전기 제조 및 유지보수</x:v>
      </x:c>
      <x:c r="H23" s="14" t="str">
        <x:v>https://kblue.co.kr/home/sub.php?menukey=483&amp;mod=view&amp;no=347&amp;scode=99999999</x:v>
      </x:c>
      <x:c r="I23" s="14" t="str">
        <x:v>공식</x:v>
      </x:c>
      <x:c r="J23" s="14" t="str">
        <x:v>충전기 제조부터 유지보수 종합 솔루션</x:v>
      </x:c>
      <x:c r="K23" s="14" t="n">
        <x:v>62</x:v>
      </x:c>
      <x:c r="L23" s="14" t="n">
        <x:v>62</x:v>
      </x:c>
      <x:c r="M23" s="14" t="n">
        <x:v>70</x:v>
      </x:c>
      <x:c r="N23" s="14" t="n">
        <x:v>72</x:v>
      </x:c>
      <x:c r="O23" s="14" t="n">
        <x:v>58</x:v>
      </x:c>
      <x:c r="P23" s="14" t="n">
        <x:v>90</x:v>
      </x:c>
      <x:c r="Q23" s="14" t="n">
        <x:v>72</x:v>
      </x:c>
      <x:c r="R23" s="14" t="n">
        <x:f>ROUND(AVERAGE(K23:O23),0)</x:f>
        <x:v>65</x:v>
      </x:c>
      <x:c r="S23" s="14" t="n">
        <x:f>ROUND(P23*0.45+R23*0.35+Q23*0.20,0)</x:f>
        <x:v>78</x:v>
      </x:c>
      <x:c r="T23" s="14" t="str">
        <x:f>IF(AND(S23&gt;=82,R23&gt;=70,P23&gt;=85),"A",IF(S23&gt;=72,"B",IF(S23&gt;=62,"C","D")))</x:f>
        <x:v>B</x:v>
      </x:c>
      <x:c r="U23" s="14" t="str">
        <x:v>전원주택 충전기 + 유지보수 공급 파트너</x:v>
      </x:c>
      <x:c r="V23" s="14" t="str">
        <x:v>1차 검증 완료</x:v>
      </x:c>
      <x:c r="W23" s="14" t="n">
        <x:v>5</x:v>
      </x:c>
      <x:c r="X23" s="14" t="str"/>
      <x:c r="Y23" s="14" t="str">
        <x:v>2026-08-13</x:v>
      </x:c>
    </x:row>
    <x:row r="24" ht="42" customHeight="1">
      <x:c r="A24" s="14" t="str">
        <x:v>RHY-023</x:v>
      </x:c>
      <x:c r="B24" s="14" t="str">
        <x:v>S03</x:v>
      </x:c>
      <x:c r="C24" s="14" t="str">
        <x:v>STORAGE,SMART</x:v>
      </x:c>
      <x:c r="D24" s="14" t="str">
        <x:v>무인택배함·물품보관함</x:v>
      </x:c>
      <x:c r="E24" s="14" t="str">
        <x:v>아이월드락커</x:v>
      </x:c>
      <x:c r="F24" s="14" t="str">
        <x:v>제조·시스템</x:v>
      </x:c>
      <x:c r="G24" s="14" t="str">
        <x:v>무인택배함, 자동식 보관함, 시스템 연동</x:v>
      </x:c>
      <x:c r="H24" s="14" t="str">
        <x:v>https://iworldlocker.com/21</x:v>
      </x:c>
      <x:c r="I24" s="14" t="str">
        <x:v>공식</x:v>
      </x:c>
      <x:c r="J24" s="14" t="str">
        <x:v>기업 납품 이력과 연동형 제품군 확인</x:v>
      </x:c>
      <x:c r="K24" s="14" t="n">
        <x:v>62</x:v>
      </x:c>
      <x:c r="L24" s="14" t="n">
        <x:v>62</x:v>
      </x:c>
      <x:c r="M24" s="14" t="n">
        <x:v>70</x:v>
      </x:c>
      <x:c r="N24" s="14" t="n">
        <x:v>72</x:v>
      </x:c>
      <x:c r="O24" s="14" t="n">
        <x:v>58</x:v>
      </x:c>
      <x:c r="P24" s="14" t="n">
        <x:v>94</x:v>
      </x:c>
      <x:c r="Q24" s="14" t="n">
        <x:v>82</x:v>
      </x:c>
      <x:c r="R24" s="14" t="n">
        <x:f>ROUND(AVERAGE(K24:O24),0)</x:f>
        <x:v>65</x:v>
      </x:c>
      <x:c r="S24" s="14" t="n">
        <x:f>ROUND(P24*0.45+R24*0.35+Q24*0.20,0)</x:f>
        <x:v>81</x:v>
      </x:c>
      <x:c r="T24" s="14" t="str">
        <x:f>IF(AND(S24&gt;=82,R24&gt;=70,P24&gt;=85),"A",IF(S24&gt;=72,"B",IF(S24&gt;=62,"C","D")))</x:f>
        <x:v>B</x:v>
      </x:c>
      <x:c r="U24" s="14" t="str">
        <x:v>단독주택용 소형 택배함 라인/커스텀 모델 협의</x:v>
      </x:c>
      <x:c r="V24" s="14" t="str">
        <x:v>1차 검증 완료</x:v>
      </x:c>
      <x:c r="W24" s="14" t="n">
        <x:v>5</x:v>
      </x:c>
      <x:c r="X24" s="14" t="str"/>
      <x:c r="Y24" s="14" t="str">
        <x:v>2026-08-13</x:v>
      </x:c>
    </x:row>
    <x:row r="25" ht="42" customHeight="1">
      <x:c r="A25" s="14" t="str">
        <x:v>RHY-024</x:v>
      </x:c>
      <x:c r="B25" s="14" t="str">
        <x:v>S03</x:v>
      </x:c>
      <x:c r="C25" s="14" t="str">
        <x:v>STORAGE,SMART</x:v>
      </x:c>
      <x:c r="D25" s="14" t="str">
        <x:v>무인택배시스템</x:v>
      </x:c>
      <x:c r="E25" s="14" t="str">
        <x:v>KDS</x:v>
      </x:c>
      <x:c r="F25" s="14" t="str">
        <x:v>제조·시스템</x:v>
      </x:c>
      <x:c r="G25" s="14" t="str">
        <x:v>아파트 단지용 24시간 무인택배 시스템</x:v>
      </x:c>
      <x:c r="H25" s="14" t="str">
        <x:v>https://k-d-s.co.kr/product</x:v>
      </x:c>
      <x:c r="I25" s="14" t="str">
        <x:v>공식</x:v>
      </x:c>
      <x:c r="J25" s="14" t="str">
        <x:v>무인택배 시스템 제품 페이지</x:v>
      </x:c>
      <x:c r="K25" s="14" t="n">
        <x:v>82</x:v>
      </x:c>
      <x:c r="L25" s="14" t="n">
        <x:v>82</x:v>
      </x:c>
      <x:c r="M25" s="14" t="n">
        <x:v>88</x:v>
      </x:c>
      <x:c r="N25" s="14" t="n">
        <x:v>90</x:v>
      </x:c>
      <x:c r="O25" s="14" t="n">
        <x:v>78</x:v>
      </x:c>
      <x:c r="P25" s="14" t="n">
        <x:v>91</x:v>
      </x:c>
      <x:c r="Q25" s="14" t="n">
        <x:v>70</x:v>
      </x:c>
      <x:c r="R25" s="14" t="n">
        <x:f>ROUND(AVERAGE(K25:O25),0)</x:f>
        <x:v>84</x:v>
      </x:c>
      <x:c r="S25" s="14" t="n">
        <x:f>ROUND(P25*0.45+R25*0.35+Q25*0.20,0)</x:f>
        <x:v>84</x:v>
      </x:c>
      <x:c r="T25" s="14" t="str">
        <x:f>IF(AND(S25&gt;=82,R25&gt;=70,P25&gt;=85),"A",IF(S25&gt;=72,"B",IF(S25&gt;=62,"C","D")))</x:f>
        <x:v>A</x:v>
      </x:c>
      <x:c r="U25" s="14" t="str">
        <x:v>1~수세대용 미니 택배함 라인 전환 가능성 문의</x:v>
      </x:c>
      <x:c r="V25" s="14" t="str">
        <x:v>1차 검증 완료</x:v>
      </x:c>
      <x:c r="W25" s="14" t="n">
        <x:v>4</x:v>
      </x:c>
      <x:c r="X25" s="14" t="str"/>
      <x:c r="Y25" s="14" t="str">
        <x:v>2026-08-13</x:v>
      </x:c>
    </x:row>
    <x:row r="26" ht="42" customHeight="1">
      <x:c r="A26" s="14" t="str">
        <x:v>RHY-025</x:v>
      </x:c>
      <x:c r="B26" s="14" t="str">
        <x:v>S03</x:v>
      </x:c>
      <x:c r="C26" s="14" t="str">
        <x:v>STORAGE,SMART</x:v>
      </x:c>
      <x:c r="D26" s="14" t="str">
        <x:v>전자식보관함·무인택배함</x:v>
      </x:c>
      <x:c r="E26" s="14" t="str">
        <x:v>새누라커</x:v>
      </x:c>
      <x:c r="F26" s="14" t="str">
        <x:v>제조·시스템</x:v>
      </x:c>
      <x:c r="G26" s="14" t="str">
        <x:v>전자식 보관함, 홈네트워크 연동</x:v>
      </x:c>
      <x:c r="H26" s="14" t="str">
        <x:v>https://www.saenu.com/sub/smartHome/smartHome.php</x:v>
      </x:c>
      <x:c r="I26" s="14" t="str">
        <x:v>공식</x:v>
      </x:c>
      <x:c r="J26" s="14" t="str">
        <x:v>보관함/택배함 및 스마트홈 연동</x:v>
      </x:c>
      <x:c r="K26" s="14" t="n">
        <x:v>62</x:v>
      </x:c>
      <x:c r="L26" s="14" t="n">
        <x:v>62</x:v>
      </x:c>
      <x:c r="M26" s="14" t="n">
        <x:v>70</x:v>
      </x:c>
      <x:c r="N26" s="14" t="n">
        <x:v>72</x:v>
      </x:c>
      <x:c r="O26" s="14" t="n">
        <x:v>58</x:v>
      </x:c>
      <x:c r="P26" s="14" t="n">
        <x:v>92</x:v>
      </x:c>
      <x:c r="Q26" s="14" t="n">
        <x:v>78</x:v>
      </x:c>
      <x:c r="R26" s="14" t="n">
        <x:f>ROUND(AVERAGE(K26:O26),0)</x:f>
        <x:v>65</x:v>
      </x:c>
      <x:c r="S26" s="14" t="n">
        <x:f>ROUND(P26*0.45+R26*0.35+Q26*0.20,0)</x:f>
        <x:v>80</x:v>
      </x:c>
      <x:c r="T26" s="14" t="str">
        <x:f>IF(AND(S26&gt;=82,R26&gt;=70,P26&gt;=85),"A",IF(S26&gt;=72,"B",IF(S26&gt;=62,"C","D")))</x:f>
        <x:v>B</x:v>
      </x:c>
      <x:c r="U26" s="14" t="str">
        <x:v>전원주택·타운하우스용 보관함 패키지</x:v>
      </x:c>
      <x:c r="V26" s="14" t="str">
        <x:v>1차 검증 완료</x:v>
      </x:c>
      <x:c r="W26" s="14" t="n">
        <x:v>5</x:v>
      </x:c>
      <x:c r="X26" s="14" t="str"/>
      <x:c r="Y26" s="14" t="str">
        <x:v>2026-08-13</x:v>
      </x:c>
    </x:row>
    <x:row r="27" ht="42" customHeight="1">
      <x:c r="A27" s="14" t="str">
        <x:v>RHY-026</x:v>
      </x:c>
      <x:c r="B27" s="14" t="str">
        <x:v>S03</x:v>
      </x:c>
      <x:c r="C27" s="14" t="str">
        <x:v>STORAGE</x:v>
      </x:c>
      <x:c r="D27" s="14" t="str">
        <x:v>우편함·택배보관함</x:v>
      </x:c>
      <x:c r="E27" s="14" t="str">
        <x:v>아이포스트</x:v>
      </x:c>
      <x:c r="F27" s="14" t="str">
        <x:v>제작·설치</x:v>
      </x:c>
      <x:c r="G27" s="14" t="str">
        <x:v>현장 규격 맞춤 우편함/택배보관함</x:v>
      </x:c>
      <x:c r="H27" s="14" t="str">
        <x:v>https://ipostehwa.co.kr/POSTBOX03</x:v>
      </x:c>
      <x:c r="I27" s="14" t="str">
        <x:v>공식</x:v>
      </x:c>
      <x:c r="J27" s="14" t="str">
        <x:v>규격/수량 조정 제작·설치 가능</x:v>
      </x:c>
      <x:c r="K27" s="14" t="n">
        <x:v>82</x:v>
      </x:c>
      <x:c r="L27" s="14" t="n">
        <x:v>82</x:v>
      </x:c>
      <x:c r="M27" s="14" t="n">
        <x:v>88</x:v>
      </x:c>
      <x:c r="N27" s="14" t="n">
        <x:v>90</x:v>
      </x:c>
      <x:c r="O27" s="14" t="n">
        <x:v>78</x:v>
      </x:c>
      <x:c r="P27" s="14" t="n">
        <x:v>94</x:v>
      </x:c>
      <x:c r="Q27" s="14" t="n">
        <x:v>72</x:v>
      </x:c>
      <x:c r="R27" s="14" t="n">
        <x:f>ROUND(AVERAGE(K27:O27),0)</x:f>
        <x:v>84</x:v>
      </x:c>
      <x:c r="S27" s="14" t="n">
        <x:f>ROUND(P27*0.45+R27*0.35+Q27*0.20,0)</x:f>
        <x:v>86</x:v>
      </x:c>
      <x:c r="T27" s="14" t="str">
        <x:f>IF(AND(S27&gt;=82,R27&gt;=70,P27&gt;=85),"A",IF(S27&gt;=72,"B",IF(S27&gt;=62,"C","D")))</x:f>
        <x:v>A</x:v>
      </x:c>
      <x:c r="U27" s="14" t="str">
        <x:v>RHINORY 전용 디자인 택배함/OEM 가능성 최우선 확인</x:v>
      </x:c>
      <x:c r="V27" s="14" t="str">
        <x:v>1차 검증 완료</x:v>
      </x:c>
      <x:c r="W27" s="14" t="n">
        <x:v>5</x:v>
      </x:c>
      <x:c r="X27" s="14" t="str"/>
      <x:c r="Y27" s="14" t="str">
        <x:v>2026-08-13</x:v>
      </x:c>
    </x:row>
    <x:row r="28" ht="42" customHeight="1">
      <x:c r="A28" s="14" t="str">
        <x:v>RHY-027</x:v>
      </x:c>
      <x:c r="B28" s="14" t="str">
        <x:v>S03</x:v>
      </x:c>
      <x:c r="C28" s="14" t="str">
        <x:v>STORAGE</x:v>
      </x:c>
      <x:c r="D28" s="14" t="str">
        <x:v>우편함·택배함</x:v>
      </x:c>
      <x:c r="E28" s="14" t="str">
        <x:v>우성코리아</x:v>
      </x:c>
      <x:c r="F28" s="14" t="str">
        <x:v>직접제조·설치</x:v>
      </x:c>
      <x:c r="G28" s="14" t="str">
        <x:v>아파트·빌라·오피스텔 우편함·택배함 맞춤</x:v>
      </x:c>
      <x:c r="H28" s="14" t="str">
        <x:v>https://www.aptville.com/companyitems/OFeigwUOCUp</x:v>
      </x:c>
      <x:c r="I28" s="14" t="str">
        <x:v>업체 플랫폼</x:v>
      </x:c>
      <x:c r="J28" s="14" t="str">
        <x:v>직접제조·전국 서비스 표기</x:v>
      </x:c>
      <x:c r="K28" s="14" t="n">
        <x:v>92</x:v>
      </x:c>
      <x:c r="L28" s="14" t="n">
        <x:v>92</x:v>
      </x:c>
      <x:c r="M28" s="14" t="n">
        <x:v>95</x:v>
      </x:c>
      <x:c r="N28" s="14" t="n">
        <x:v>95</x:v>
      </x:c>
      <x:c r="O28" s="14" t="n">
        <x:v>88</x:v>
      </x:c>
      <x:c r="P28" s="14" t="n">
        <x:v>90</x:v>
      </x:c>
      <x:c r="Q28" s="14" t="n">
        <x:v>70</x:v>
      </x:c>
      <x:c r="R28" s="14" t="n">
        <x:f>ROUND(AVERAGE(K28:O28),0)</x:f>
        <x:v>92</x:v>
      </x:c>
      <x:c r="S28" s="14" t="n">
        <x:f>ROUND(P28*0.45+R28*0.35+Q28*0.20,0)</x:f>
        <x:v>87</x:v>
      </x:c>
      <x:c r="T28" s="14" t="str">
        <x:f>IF(AND(S28&gt;=82,R28&gt;=70,P28&gt;=85),"A",IF(S28&gt;=72,"B",IF(S28&gt;=62,"C","D")))</x:f>
        <x:v>A</x:v>
      </x:c>
      <x:c r="U28" s="14" t="str">
        <x:v>단독주택 디자인 우편함/택배함으로 시장 확장 제안</x:v>
      </x:c>
      <x:c r="V28" s="14" t="str">
        <x:v>공식사이트 재검증 필요</x:v>
      </x:c>
      <x:c r="W28" s="14" t="n">
        <x:v>3</x:v>
      </x:c>
      <x:c r="X28" s="14" t="str"/>
      <x:c r="Y28" s="14" t="str">
        <x:v>2026-08-13</x:v>
      </x:c>
    </x:row>
    <x:row r="29" ht="42" customHeight="1">
      <x:c r="A29" s="14" t="str">
        <x:v>RHY-028</x:v>
      </x:c>
      <x:c r="B29" s="14" t="str">
        <x:v>S03</x:v>
      </x:c>
      <x:c r="C29" s="14" t="str">
        <x:v>STORAGE</x:v>
      </x:c>
      <x:c r="D29" s="14" t="str">
        <x:v>조립식창고·차고</x:v>
      </x:c>
      <x:c r="E29" s="14" t="str">
        <x:v>뉴하우스</x:v>
      </x:c>
      <x:c r="F29" s="14" t="str">
        <x:v>공식판매·시공</x:v>
      </x:c>
      <x:c r="G29" s="14" t="str">
        <x:v>타쿠보 조립식창고 약 300종, 차고/자전거보관</x:v>
      </x:c>
      <x:c r="H29" s="14" t="str">
        <x:v>https://new-house.co.kr/_sub/sub3_takubo.html</x:v>
      </x:c>
      <x:c r="I29" s="14" t="str">
        <x:v>공식</x:v>
      </x:c>
      <x:c r="J29" s="14" t="str">
        <x:v>타쿠보 공식 판매점</x:v>
      </x:c>
      <x:c r="K29" s="14" t="n">
        <x:v>62</x:v>
      </x:c>
      <x:c r="L29" s="14" t="n">
        <x:v>62</x:v>
      </x:c>
      <x:c r="M29" s="14" t="n">
        <x:v>70</x:v>
      </x:c>
      <x:c r="N29" s="14" t="n">
        <x:v>72</x:v>
      </x:c>
      <x:c r="O29" s="14" t="n">
        <x:v>58</x:v>
      </x:c>
      <x:c r="P29" s="14" t="n">
        <x:v>88</x:v>
      </x:c>
      <x:c r="Q29" s="14" t="n">
        <x:v>88</x:v>
      </x:c>
      <x:c r="R29" s="14" t="n">
        <x:f>ROUND(AVERAGE(K29:O29),0)</x:f>
        <x:v>65</x:v>
      </x:c>
      <x:c r="S29" s="14" t="n">
        <x:f>ROUND(P29*0.45+R29*0.35+Q29*0.20,0)</x:f>
        <x:v>80</x:v>
      </x:c>
      <x:c r="T29" s="14" t="str">
        <x:f>IF(AND(S29&gt;=82,R29&gt;=70,P29&gt;=85),"A",IF(S29&gt;=72,"B",IF(S29&gt;=62,"C","D")))</x:f>
        <x:v>B</x:v>
      </x:c>
      <x:c r="U29" s="14" t="str">
        <x:v>고급 조립식창고/차고 큐레이션 파트너</x:v>
      </x:c>
      <x:c r="V29" s="14" t="str">
        <x:v>1차 검증 완료</x:v>
      </x:c>
      <x:c r="W29" s="14" t="n">
        <x:v>5</x:v>
      </x:c>
      <x:c r="X29" s="14" t="str"/>
      <x:c r="Y29" s="14" t="str">
        <x:v>2026-08-13</x:v>
      </x:c>
    </x:row>
    <x:row r="30" ht="42" customHeight="1">
      <x:c r="A30" s="14" t="str">
        <x:v>RHY-029</x:v>
      </x:c>
      <x:c r="B30" s="14" t="str">
        <x:v>S03</x:v>
      </x:c>
      <x:c r="C30" s="14" t="str">
        <x:v>STORAGE</x:v>
      </x:c>
      <x:c r="D30" s="14" t="str">
        <x:v>조립식창고 SHED</x:v>
      </x:c>
      <x:c r="E30" s="14" t="str">
        <x:v>NGU그룹</x:v>
      </x:c>
      <x:c r="F30" s="14" t="str">
        <x:v>수입·유통</x:v>
      </x:c>
      <x:c r="G30" s="14" t="str">
        <x:v>미국 Lifetime 친환경 조립식창고 국내 런칭</x:v>
      </x:c>
      <x:c r="H30" s="14" t="str">
        <x:v>https://ngu.kr/kr/business/online-business/</x:v>
      </x:c>
      <x:c r="I30" s="14" t="str">
        <x:v>공식</x:v>
      </x:c>
      <x:c r="J30" s="14" t="str">
        <x:v>조립식창고 SHED 대표브랜드 운영</x:v>
      </x:c>
      <x:c r="K30" s="14" t="n">
        <x:v>62</x:v>
      </x:c>
      <x:c r="L30" s="14" t="n">
        <x:v>62</x:v>
      </x:c>
      <x:c r="M30" s="14" t="n">
        <x:v>70</x:v>
      </x:c>
      <x:c r="N30" s="14" t="n">
        <x:v>72</x:v>
      </x:c>
      <x:c r="O30" s="14" t="n">
        <x:v>58</x:v>
      </x:c>
      <x:c r="P30" s="14" t="n">
        <x:v>86</x:v>
      </x:c>
      <x:c r="Q30" s="14" t="n">
        <x:v>70</x:v>
      </x:c>
      <x:c r="R30" s="14" t="n">
        <x:f>ROUND(AVERAGE(K30:O30),0)</x:f>
        <x:v>65</x:v>
      </x:c>
      <x:c r="S30" s="14" t="n">
        <x:f>ROUND(P30*0.45+R30*0.35+Q30*0.20,0)</x:f>
        <x:v>75</x:v>
      </x:c>
      <x:c r="T30" s="14" t="str">
        <x:f>IF(AND(S30&gt;=82,R30&gt;=70,P30&gt;=85),"A",IF(S30&gt;=72,"B",IF(S30&gt;=62,"C","D")))</x:f>
        <x:v>B</x:v>
      </x:c>
      <x:c r="U30" s="14" t="str">
        <x:v>직수입/도매조건 및 상품콘텐츠 제휴</x:v>
      </x:c>
      <x:c r="V30" s="14" t="str">
        <x:v>1차 검증 완료</x:v>
      </x:c>
      <x:c r="W30" s="14" t="n">
        <x:v>5</x:v>
      </x:c>
      <x:c r="X30" s="14" t="str"/>
      <x:c r="Y30" s="14" t="str">
        <x:v>2026-08-13</x:v>
      </x:c>
    </x:row>
    <x:row r="31" ht="42" customHeight="1">
      <x:c r="A31" s="14" t="str">
        <x:v>RHY-030</x:v>
      </x:c>
      <x:c r="B31" s="14" t="str">
        <x:v>S03</x:v>
      </x:c>
      <x:c r="C31" s="14" t="str">
        <x:v>STORAGE,BUILD</x:v>
      </x:c>
      <x:c r="D31" s="14" t="str">
        <x:v>조립식창고·경량철골</x:v>
      </x:c>
      <x:c r="E31" s="14" t="str">
        <x:v>(주)아름철강</x:v>
      </x:c>
      <x:c r="F31" s="14" t="str">
        <x:v>제조·시공</x:v>
      </x:c>
      <x:c r="G31" s="14" t="str">
        <x:v>LEB/HEB 경량철골, 조립식창고</x:v>
      </x:c>
      <x:c r="H31" s="14" t="str">
        <x:v>https://www.arst.co.kr/</x:v>
      </x:c>
      <x:c r="I31" s="14" t="str">
        <x:v>공식</x:v>
      </x:c>
      <x:c r="J31" s="14" t="str">
        <x:v>경량철골 생산 및 직영 시공팀</x:v>
      </x:c>
      <x:c r="K31" s="14" t="n">
        <x:v>82</x:v>
      </x:c>
      <x:c r="L31" s="14" t="n">
        <x:v>82</x:v>
      </x:c>
      <x:c r="M31" s="14" t="n">
        <x:v>88</x:v>
      </x:c>
      <x:c r="N31" s="14" t="n">
        <x:v>90</x:v>
      </x:c>
      <x:c r="O31" s="14" t="n">
        <x:v>78</x:v>
      </x:c>
      <x:c r="P31" s="14" t="n">
        <x:v>88</x:v>
      </x:c>
      <x:c r="Q31" s="14" t="n">
        <x:v>76</x:v>
      </x:c>
      <x:c r="R31" s="14" t="n">
        <x:f>ROUND(AVERAGE(K31:O31),0)</x:f>
        <x:v>84</x:v>
      </x:c>
      <x:c r="S31" s="14" t="n">
        <x:f>ROUND(P31*0.45+R31*0.35+Q31*0.20,0)</x:f>
        <x:v>84</x:v>
      </x:c>
      <x:c r="T31" s="14" t="str">
        <x:f>IF(AND(S31&gt;=82,R31&gt;=70,P31&gt;=85),"A",IF(S31&gt;=72,"B",IF(S31&gt;=62,"C","D")))</x:f>
        <x:v>A</x:v>
      </x:c>
      <x:c r="U31" s="14" t="str">
        <x:v>중대형 창고/차고 견적형 상품으로 전환</x:v>
      </x:c>
      <x:c r="V31" s="14" t="str">
        <x:v>1차 검증 완료</x:v>
      </x:c>
      <x:c r="W31" s="14" t="n">
        <x:v>5</x:v>
      </x:c>
      <x:c r="X31" s="14" t="str"/>
      <x:c r="Y31" s="14" t="str">
        <x:v>2026-08-13</x:v>
      </x:c>
    </x:row>
    <x:row r="32" ht="42" customHeight="1">
      <x:c r="A32" s="14" t="str">
        <x:v>RHY-031</x:v>
      </x:c>
      <x:c r="B32" s="14" t="str">
        <x:v>S04</x:v>
      </x:c>
      <x:c r="C32" s="14" t="str">
        <x:v>SECURITY,SMART</x:v>
      </x:c>
      <x:c r="D32" s="14" t="str">
        <x:v>스마트도어락</x:v>
      </x:c>
      <x:c r="E32" s="14" t="str">
        <x:v>솔리티</x:v>
      </x:c>
      <x:c r="F32" s="14" t="str">
        <x:v>제조·OEM/ODM</x:v>
      </x:c>
      <x:c r="G32" s="14" t="str">
        <x:v>스마트도어락, OEM/ODM 경험</x:v>
      </x:c>
      <x:c r="H32" s="14" t="str">
        <x:v>https://www.solitykorea.com/kr/about/history</x:v>
      </x:c>
      <x:c r="I32" s="14" t="str">
        <x:v>공식</x:v>
      </x:c>
      <x:c r="J32" s="14" t="str">
        <x:v>OEM/ODM 및 스마트도어락 제품력 확인</x:v>
      </x:c>
      <x:c r="K32" s="14" t="n">
        <x:v>38</x:v>
      </x:c>
      <x:c r="L32" s="14" t="n">
        <x:v>38</x:v>
      </x:c>
      <x:c r="M32" s="14" t="n">
        <x:v>45</x:v>
      </x:c>
      <x:c r="N32" s="14" t="n">
        <x:v>48</x:v>
      </x:c>
      <x:c r="O32" s="14" t="n">
        <x:v>35</x:v>
      </x:c>
      <x:c r="P32" s="14" t="n">
        <x:v>92</x:v>
      </x:c>
      <x:c r="Q32" s="14" t="n">
        <x:v>80</x:v>
      </x:c>
      <x:c r="R32" s="14" t="n">
        <x:f>ROUND(AVERAGE(K32:O32),0)</x:f>
        <x:v>41</x:v>
      </x:c>
      <x:c r="S32" s="14" t="n">
        <x:f>ROUND(P32*0.45+R32*0.35+Q32*0.20,0)</x:f>
        <x:v>72</x:v>
      </x:c>
      <x:c r="T32" s="14" t="str">
        <x:f>IF(AND(S32&gt;=82,R32&gt;=70,P32&gt;=85),"A",IF(S32&gt;=72,"B",IF(S32&gt;=62,"C","D")))</x:f>
        <x:v>B</x:v>
      </x:c>
      <x:c r="U32" s="14" t="str">
        <x:v>공급은 매력적이나 AEO 기여보다는 상품 제휴 중심</x:v>
      </x:c>
      <x:c r="V32" s="14" t="str">
        <x:v>1차 검증 완료</x:v>
      </x:c>
      <x:c r="W32" s="14" t="n">
        <x:v>5</x:v>
      </x:c>
      <x:c r="X32" s="14" t="str"/>
      <x:c r="Y32" s="14" t="str">
        <x:v>2026-08-13</x:v>
      </x:c>
    </x:row>
    <x:row r="33" ht="42" customHeight="1">
      <x:c r="A33" s="14" t="str">
        <x:v>RHY-032</x:v>
      </x:c>
      <x:c r="B33" s="14" t="str">
        <x:v>S04</x:v>
      </x:c>
      <x:c r="C33" s="14" t="str">
        <x:v>SECURITY</x:v>
      </x:c>
      <x:c r="D33" s="14" t="str">
        <x:v>CCTV·NVR</x:v>
      </x:c>
      <x:c r="E33" s="14" t="str">
        <x:v>베스트디지탈</x:v>
      </x:c>
      <x:c r="F33" s="14" t="str">
        <x:v>R&amp;D·제조</x:v>
      </x:c>
      <x:c r="G33" s="14" t="str">
        <x:v>네트워크 영상감시 솔루션 개발·제조·판매</x:v>
      </x:c>
      <x:c r="H33" s="14" t="str">
        <x:v>https://www.bdvr.co.kr/kor/com01.php</x:v>
      </x:c>
      <x:c r="I33" s="14" t="str">
        <x:v>공식</x:v>
      </x:c>
      <x:c r="J33" s="14" t="str">
        <x:v>국내 CCTV 연구개발 제조사</x:v>
      </x:c>
      <x:c r="K33" s="14" t="n">
        <x:v>82</x:v>
      </x:c>
      <x:c r="L33" s="14" t="n">
        <x:v>82</x:v>
      </x:c>
      <x:c r="M33" s="14" t="n">
        <x:v>88</x:v>
      </x:c>
      <x:c r="N33" s="14" t="n">
        <x:v>90</x:v>
      </x:c>
      <x:c r="O33" s="14" t="n">
        <x:v>78</x:v>
      </x:c>
      <x:c r="P33" s="14" t="n">
        <x:v>94</x:v>
      </x:c>
      <x:c r="Q33" s="14" t="n">
        <x:v>72</x:v>
      </x:c>
      <x:c r="R33" s="14" t="n">
        <x:f>ROUND(AVERAGE(K33:O33),0)</x:f>
        <x:v>84</x:v>
      </x:c>
      <x:c r="S33" s="14" t="n">
        <x:f>ROUND(P33*0.45+R33*0.35+Q33*0.20,0)</x:f>
        <x:v>86</x:v>
      </x:c>
      <x:c r="T33" s="14" t="str">
        <x:f>IF(AND(S33&gt;=82,R33&gt;=70,P33&gt;=85),"A",IF(S33&gt;=72,"B",IF(S33&gt;=62,"C","D")))</x:f>
        <x:v>A</x:v>
      </x:c>
      <x:c r="U33" s="14" t="str">
        <x:v>주택용 CCTV 패키지 + 소비자 설명 콘텐츠 공동화</x:v>
      </x:c>
      <x:c r="V33" s="14" t="str">
        <x:v>1차 검증 완료</x:v>
      </x:c>
      <x:c r="W33" s="14" t="n">
        <x:v>5</x:v>
      </x:c>
      <x:c r="X33" s="14" t="str"/>
      <x:c r="Y33" s="14" t="str">
        <x:v>2026-08-13</x:v>
      </x:c>
    </x:row>
    <x:row r="34" ht="42" customHeight="1">
      <x:c r="A34" s="14" t="str">
        <x:v>RHY-033</x:v>
      </x:c>
      <x:c r="B34" s="14" t="str">
        <x:v>S04</x:v>
      </x:c>
      <x:c r="C34" s="14" t="str">
        <x:v>SECURITY</x:v>
      </x:c>
      <x:c r="D34" s="14" t="str">
        <x:v>IP카메라·NVR</x:v>
      </x:c>
      <x:c r="E34" s="14" t="str">
        <x:v>웹게이트</x:v>
      </x:c>
      <x:c r="F34" s="14" t="str">
        <x:v>제조·보안솔루션</x:v>
      </x:c>
      <x:c r="G34" s="14" t="str">
        <x:v>IP 비디오 및 감시 솔루션</x:v>
      </x:c>
      <x:c r="H34" s="14" t="str">
        <x:v>https://www.icseecam.com/ko/top-10-korean-cctv-manufacturers/</x:v>
      </x:c>
      <x:c r="I34" s="14" t="str">
        <x:v>산업 리서치</x:v>
      </x:c>
      <x:c r="J34" s="14" t="str">
        <x:v>한국 CCTV 주요 제조사로 소개</x:v>
      </x:c>
      <x:c r="K34" s="14" t="n">
        <x:v>62</x:v>
      </x:c>
      <x:c r="L34" s="14" t="n">
        <x:v>62</x:v>
      </x:c>
      <x:c r="M34" s="14" t="n">
        <x:v>70</x:v>
      </x:c>
      <x:c r="N34" s="14" t="n">
        <x:v>72</x:v>
      </x:c>
      <x:c r="O34" s="14" t="n">
        <x:v>58</x:v>
      </x:c>
      <x:c r="P34" s="14" t="n">
        <x:v>84</x:v>
      </x:c>
      <x:c r="Q34" s="14" t="n">
        <x:v>65</x:v>
      </x:c>
      <x:c r="R34" s="14" t="n">
        <x:f>ROUND(AVERAGE(K34:O34),0)</x:f>
        <x:v>65</x:v>
      </x:c>
      <x:c r="S34" s="14" t="n">
        <x:f>ROUND(P34*0.45+R34*0.35+Q34*0.20,0)</x:f>
        <x:v>74</x:v>
      </x:c>
      <x:c r="T34" s="14" t="str">
        <x:f>IF(AND(S34&gt;=82,R34&gt;=70,P34&gt;=85),"A",IF(S34&gt;=72,"B",IF(S34&gt;=62,"C","D")))</x:f>
        <x:v>B</x:v>
      </x:c>
      <x:c r="U34" s="14" t="str">
        <x:v>공식제품/가정용 SKU 여부 재검증 후 접촉</x:v>
      </x:c>
      <x:c r="V34" s="14" t="str">
        <x:v>공식사이트 재검증 필요</x:v>
      </x:c>
      <x:c r="W34" s="14" t="n">
        <x:v>3</x:v>
      </x:c>
      <x:c r="X34" s="14" t="str"/>
      <x:c r="Y34" s="14" t="str">
        <x:v>2026-08-13</x:v>
      </x:c>
    </x:row>
    <x:row r="35" ht="42" customHeight="1">
      <x:c r="A35" s="14" t="str">
        <x:v>RHY-034</x:v>
      </x:c>
      <x:c r="B35" s="14" t="str">
        <x:v>S04</x:v>
      </x:c>
      <x:c r="C35" s="14" t="str">
        <x:v>SECURITY</x:v>
      </x:c>
      <x:c r="D35" s="14" t="str">
        <x:v>CCTV·DVR/NVR</x:v>
      </x:c>
      <x:c r="E35" s="14" t="str">
        <x:v>CNB Technology</x:v>
      </x:c>
      <x:c r="F35" s="14" t="str">
        <x:v>제조</x:v>
      </x:c>
      <x:c r="G35" s="14" t="str">
        <x:v>실내외 카메라, DVR/NVR, PTZ</x:v>
      </x:c>
      <x:c r="H35" s="14" t="str">
        <x:v>https://www.icseecam.com/ko/top-10-korean-cctv-manufacturers/</x:v>
      </x:c>
      <x:c r="I35" s="14" t="str">
        <x:v>산업 리서치</x:v>
      </x:c>
      <x:c r="J35" s="14" t="str">
        <x:v>가격대비 성능형 CCTV 제조사로 소개</x:v>
      </x:c>
      <x:c r="K35" s="14" t="n">
        <x:v>82</x:v>
      </x:c>
      <x:c r="L35" s="14" t="n">
        <x:v>82</x:v>
      </x:c>
      <x:c r="M35" s="14" t="n">
        <x:v>88</x:v>
      </x:c>
      <x:c r="N35" s="14" t="n">
        <x:v>90</x:v>
      </x:c>
      <x:c r="O35" s="14" t="n">
        <x:v>78</x:v>
      </x:c>
      <x:c r="P35" s="14" t="n">
        <x:v>86</x:v>
      </x:c>
      <x:c r="Q35" s="14" t="n">
        <x:v>68</x:v>
      </x:c>
      <x:c r="R35" s="14" t="n">
        <x:f>ROUND(AVERAGE(K35:O35),0)</x:f>
        <x:v>84</x:v>
      </x:c>
      <x:c r="S35" s="14" t="n">
        <x:f>ROUND(P35*0.45+R35*0.35+Q35*0.20,0)</x:f>
        <x:v>82</x:v>
      </x:c>
      <x:c r="T35" s="14" t="str">
        <x:f>IF(AND(S35&gt;=82,R35&gt;=70,P35&gt;=85),"A",IF(S35&gt;=72,"B",IF(S35&gt;=62,"C","D")))</x:f>
        <x:v>A</x:v>
      </x:c>
      <x:c r="U35" s="14" t="str">
        <x:v>중저가 주택 CCTV 패키지/OEM 가능성 확인</x:v>
      </x:c>
      <x:c r="V35" s="14" t="str">
        <x:v>공식사이트 재검증 필요</x:v>
      </x:c>
      <x:c r="W35" s="14" t="n">
        <x:v>3</x:v>
      </x:c>
      <x:c r="X35" s="14" t="str"/>
      <x:c r="Y35" s="14" t="str">
        <x:v>2026-08-13</x:v>
      </x:c>
    </x:row>
    <x:row r="36" ht="42" customHeight="1">
      <x:c r="A36" s="14" t="str">
        <x:v>RHY-035</x:v>
      </x:c>
      <x:c r="B36" s="14" t="str">
        <x:v>S04</x:v>
      </x:c>
      <x:c r="C36" s="14" t="str">
        <x:v>SECURITY</x:v>
      </x:c>
      <x:c r="D36" s="14" t="str">
        <x:v>CCTV·비디오서버·VMS</x:v>
      </x:c>
      <x:c r="E36" s="14" t="str">
        <x:v>세연테크</x:v>
      </x:c>
      <x:c r="F36" s="14" t="str">
        <x:v>제조·솔루션</x:v>
      </x:c>
      <x:c r="G36" s="14" t="str">
        <x:v>IP/아날로그 카메라, 비디오서버, VMS</x:v>
      </x:c>
      <x:c r="H36" s="14" t="str">
        <x:v>https://www.icseecam.com/ko/top-10-korean-cctv-manufacturers/</x:v>
      </x:c>
      <x:c r="I36" s="14" t="str">
        <x:v>산업 리서치</x:v>
      </x:c>
      <x:c r="J36" s="14" t="str">
        <x:v>영상감시 전문 제조사로 소개</x:v>
      </x:c>
      <x:c r="K36" s="14" t="n">
        <x:v>82</x:v>
      </x:c>
      <x:c r="L36" s="14" t="n">
        <x:v>82</x:v>
      </x:c>
      <x:c r="M36" s="14" t="n">
        <x:v>88</x:v>
      </x:c>
      <x:c r="N36" s="14" t="n">
        <x:v>90</x:v>
      </x:c>
      <x:c r="O36" s="14" t="n">
        <x:v>78</x:v>
      </x:c>
      <x:c r="P36" s="14" t="n">
        <x:v>87</x:v>
      </x:c>
      <x:c r="Q36" s="14" t="n">
        <x:v>72</x:v>
      </x:c>
      <x:c r="R36" s="14" t="n">
        <x:f>ROUND(AVERAGE(K36:O36),0)</x:f>
        <x:v>84</x:v>
      </x:c>
      <x:c r="S36" s="14" t="n">
        <x:f>ROUND(P36*0.45+R36*0.35+Q36*0.20,0)</x:f>
        <x:v>83</x:v>
      </x:c>
      <x:c r="T36" s="14" t="str">
        <x:f>IF(AND(S36&gt;=82,R36&gt;=70,P36&gt;=85),"A",IF(S36&gt;=72,"B",IF(S36&gt;=62,"C","D")))</x:f>
        <x:v>A</x:v>
      </x:c>
      <x:c r="U36" s="14" t="str">
        <x:v>주택용 제품 존재 여부 확인 후 B2C 재포지셔닝 제안</x:v>
      </x:c>
      <x:c r="V36" s="14" t="str">
        <x:v>공식사이트 재검증 필요</x:v>
      </x:c>
      <x:c r="W36" s="14" t="n">
        <x:v>3</x:v>
      </x:c>
      <x:c r="X36" s="14" t="str"/>
      <x:c r="Y36" s="14" t="str">
        <x:v>2026-08-13</x:v>
      </x:c>
    </x:row>
    <x:row r="37" ht="42" customHeight="1">
      <x:c r="A37" s="14" t="str">
        <x:v>RHY-036</x:v>
      </x:c>
      <x:c r="B37" s="14" t="str">
        <x:v>S04</x:v>
      </x:c>
      <x:c r="C37" s="14" t="str">
        <x:v>SECURITY,SMART</x:v>
      </x:c>
      <x:c r="D37" s="14" t="str">
        <x:v>비디오도어폰·홈보안</x:v>
      </x:c>
      <x:c r="E37" s="14" t="str">
        <x:v>코콤</x:v>
      </x:c>
      <x:c r="F37" s="14" t="str">
        <x:v>제조·스마트홈</x:v>
      </x:c>
      <x:c r="G37" s="14" t="str">
        <x:v>비디오도어폰, 홈보안, CCTV</x:v>
      </x:c>
      <x:c r="H37" s="14" t="str">
        <x:v>https://www.icseecam.com/ko/top-10-korean-cctv-manufacturers/</x:v>
      </x:c>
      <x:c r="I37" s="14" t="str">
        <x:v>산업 리서치</x:v>
      </x:c>
      <x:c r="J37" s="14" t="str">
        <x:v>주거 보안/홈자동화 제품군</x:v>
      </x:c>
      <x:c r="K37" s="14" t="n">
        <x:v>38</x:v>
      </x:c>
      <x:c r="L37" s="14" t="n">
        <x:v>38</x:v>
      </x:c>
      <x:c r="M37" s="14" t="n">
        <x:v>45</x:v>
      </x:c>
      <x:c r="N37" s="14" t="n">
        <x:v>48</x:v>
      </x:c>
      <x:c r="O37" s="14" t="n">
        <x:v>35</x:v>
      </x:c>
      <x:c r="P37" s="14" t="n">
        <x:v>86</x:v>
      </x:c>
      <x:c r="Q37" s="14" t="n">
        <x:v>88</x:v>
      </x:c>
      <x:c r="R37" s="14" t="n">
        <x:f>ROUND(AVERAGE(K37:O37),0)</x:f>
        <x:v>41</x:v>
      </x:c>
      <x:c r="S37" s="14" t="n">
        <x:f>ROUND(P37*0.45+R37*0.35+Q37*0.20,0)</x:f>
        <x:v>71</x:v>
      </x:c>
      <x:c r="T37" s="14" t="str">
        <x:f>IF(AND(S37&gt;=82,R37&gt;=70,P37&gt;=85),"A",IF(S37&gt;=72,"B",IF(S37&gt;=62,"C","D")))</x:f>
        <x:v>C</x:v>
      </x:c>
      <x:c r="U37" s="14" t="str">
        <x:v>멀티제품 공급 파트너, AEO 우선도는 낮춤</x:v>
      </x:c>
      <x:c r="V37" s="14" t="str">
        <x:v>공식사이트 재검증 필요</x:v>
      </x:c>
      <x:c r="W37" s="14" t="n">
        <x:v>3</x:v>
      </x:c>
      <x:c r="X37" s="14" t="str"/>
      <x:c r="Y37" s="14" t="str">
        <x:v>2026-08-13</x:v>
      </x:c>
    </x:row>
    <x:row r="38" ht="42" customHeight="1">
      <x:c r="A38" s="14" t="str">
        <x:v>RHY-037</x:v>
      </x:c>
      <x:c r="B38" s="14" t="str">
        <x:v>S04</x:v>
      </x:c>
      <x:c r="C38" s="14" t="str">
        <x:v>SMART,SECURITY</x:v>
      </x:c>
      <x:c r="D38" s="14" t="str">
        <x:v>스마트홈 AI·IoT</x:v>
      </x:c>
      <x:c r="E38" s="14" t="str">
        <x:v>TGS</x:v>
      </x:c>
      <x:c r="F38" s="14" t="str">
        <x:v>플랫폼·유통·설치</x:v>
      </x:c>
      <x:c r="G38" s="14" t="str">
        <x:v>AIoT 제품, 플랫폼, 유통, 설치, A/S</x:v>
      </x:c>
      <x:c r="H38" s="14" t="str">
        <x:v>https://tgsvc.co.kr/sub/business12.do</x:v>
      </x:c>
      <x:c r="I38" s="14" t="str">
        <x:v>공식</x:v>
      </x:c>
      <x:c r="J38" s="14" t="str">
        <x:v>스마트홈 토탈 솔루션</x:v>
      </x:c>
      <x:c r="K38" s="14" t="n">
        <x:v>38</x:v>
      </x:c>
      <x:c r="L38" s="14" t="n">
        <x:v>38</x:v>
      </x:c>
      <x:c r="M38" s="14" t="n">
        <x:v>45</x:v>
      </x:c>
      <x:c r="N38" s="14" t="n">
        <x:v>48</x:v>
      </x:c>
      <x:c r="O38" s="14" t="n">
        <x:v>35</x:v>
      </x:c>
      <x:c r="P38" s="14" t="n">
        <x:v>88</x:v>
      </x:c>
      <x:c r="Q38" s="14" t="n">
        <x:v>94</x:v>
      </x:c>
      <x:c r="R38" s="14" t="n">
        <x:f>ROUND(AVERAGE(K38:O38),0)</x:f>
        <x:v>41</x:v>
      </x:c>
      <x:c r="S38" s="14" t="n">
        <x:f>ROUND(P38*0.45+R38*0.35+Q38*0.20,0)</x:f>
        <x:v>73</x:v>
      </x:c>
      <x:c r="T38" s="14" t="str">
        <x:f>IF(AND(S38&gt;=82,R38&gt;=70,P38&gt;=85),"A",IF(S38&gt;=72,"B",IF(S38&gt;=62,"C","D")))</x:f>
        <x:v>B</x:v>
      </x:c>
      <x:c r="U38" s="14" t="str">
        <x:v>RHINORY SMART 카테고리 통합 패키지 검토</x:v>
      </x:c>
      <x:c r="V38" s="14" t="str">
        <x:v>1차 검증 완료</x:v>
      </x:c>
      <x:c r="W38" s="14" t="n">
        <x:v>5</x:v>
      </x:c>
      <x:c r="X38" s="14" t="str"/>
      <x:c r="Y38" s="14" t="str">
        <x:v>2026-08-13</x:v>
      </x:c>
    </x:row>
    <x:row r="39" ht="42" customHeight="1">
      <x:c r="A39" s="14" t="str">
        <x:v>RHY-038</x:v>
      </x:c>
      <x:c r="B39" s="14" t="str">
        <x:v>S04</x:v>
      </x:c>
      <x:c r="C39" s="14" t="str">
        <x:v>SECURITY</x:v>
      </x:c>
      <x:c r="D39" s="14" t="str">
        <x:v>CCTV·VMS</x:v>
      </x:c>
      <x:c r="E39" s="14" t="str">
        <x:v>아이디스</x:v>
      </x:c>
      <x:c r="F39" s="14" t="str">
        <x:v>제조·보안솔루션</x:v>
      </x:c>
      <x:c r="G39" s="14" t="str">
        <x:v>네트워크 카메라, DVR/NVR, 영상분석</x:v>
      </x:c>
      <x:c r="H39" s="14" t="str">
        <x:v>https://www.icseecam.com/ko/top-10-korean-cctv-manufacturers/</x:v>
      </x:c>
      <x:c r="I39" s="14" t="str">
        <x:v>산업 리서치</x:v>
      </x:c>
      <x:c r="J39" s="14" t="str">
        <x:v>국내 대표 영상보안 제조사</x:v>
      </x:c>
      <x:c r="K39" s="14" t="n">
        <x:v>22</x:v>
      </x:c>
      <x:c r="L39" s="14" t="n">
        <x:v>25</x:v>
      </x:c>
      <x:c r="M39" s="14" t="n">
        <x:v>30</x:v>
      </x:c>
      <x:c r="N39" s="14" t="n">
        <x:v>32</x:v>
      </x:c>
      <x:c r="O39" s="14" t="n">
        <x:v>22</x:v>
      </x:c>
      <x:c r="P39" s="14" t="n">
        <x:v>92</x:v>
      </x:c>
      <x:c r="Q39" s="14" t="n">
        <x:v>72</x:v>
      </x:c>
      <x:c r="R39" s="14" t="n">
        <x:f>ROUND(AVERAGE(K39:O39),0)</x:f>
        <x:v>26</x:v>
      </x:c>
      <x:c r="S39" s="14" t="n">
        <x:f>ROUND(P39*0.45+R39*0.35+Q39*0.20,0)</x:f>
        <x:v>65</x:v>
      </x:c>
      <x:c r="T39" s="14" t="str">
        <x:f>IF(AND(S39&gt;=82,R39&gt;=70,P39&gt;=85),"A",IF(S39&gt;=72,"B",IF(S39&gt;=62,"C","D")))</x:f>
        <x:v>C</x:v>
      </x:c>
      <x:c r="U39" s="14" t="str">
        <x:v>벤치마크/상위 공급사. AEO 공백 타깃은 아님</x:v>
      </x:c>
      <x:c r="V39" s="14" t="str">
        <x:v>공식사이트 재검증 필요</x:v>
      </x:c>
      <x:c r="W39" s="14" t="n">
        <x:v>3</x:v>
      </x:c>
      <x:c r="X39" s="14" t="str"/>
      <x:c r="Y39" s="14" t="str">
        <x:v>2026-08-13</x:v>
      </x:c>
    </x:row>
    <x:row r="40" ht="42" customHeight="1">
      <x:c r="A40" s="14" t="str">
        <x:v>RHY-039</x:v>
      </x:c>
      <x:c r="B40" s="14" t="str">
        <x:v>S05</x:v>
      </x:c>
      <x:c r="C40" s="14" t="str">
        <x:v>OUTDOOR</x:v>
      </x:c>
      <x:c r="D40" s="14" t="str">
        <x:v>시스템파고라</x:v>
      </x:c>
      <x:c r="E40" s="14" t="str">
        <x:v>테라스페이스</x:v>
      </x:c>
      <x:c r="F40" s="14" t="str">
        <x:v>국내생산·시공</x:v>
      </x:c>
      <x:c r="G40" s="14" t="str">
        <x:v>전동 개폐형 파고라, 맞춤 제작, 3D/시공</x:v>
      </x:c>
      <x:c r="H40" s="14" t="str">
        <x:v>https://terraceface.com/</x:v>
      </x:c>
      <x:c r="I40" s="14" t="str">
        <x:v>공식</x:v>
      </x:c>
      <x:c r="J40" s="14" t="str">
        <x:v>국내 생산/20년 업력/5년 AS, 콘텐츠도 비교적 풍부</x:v>
      </x:c>
      <x:c r="K40" s="14" t="n">
        <x:v>38</x:v>
      </x:c>
      <x:c r="L40" s="14" t="n">
        <x:v>38</x:v>
      </x:c>
      <x:c r="M40" s="14" t="n">
        <x:v>45</x:v>
      </x:c>
      <x:c r="N40" s="14" t="n">
        <x:v>48</x:v>
      </x:c>
      <x:c r="O40" s="14" t="n">
        <x:v>35</x:v>
      </x:c>
      <x:c r="P40" s="14" t="n">
        <x:v>96</x:v>
      </x:c>
      <x:c r="Q40" s="14" t="n">
        <x:v>82</x:v>
      </x:c>
      <x:c r="R40" s="14" t="n">
        <x:f>ROUND(AVERAGE(K40:O40),0)</x:f>
        <x:v>41</x:v>
      </x:c>
      <x:c r="S40" s="14" t="n">
        <x:f>ROUND(P40*0.45+R40*0.35+Q40*0.20,0)</x:f>
        <x:v>74</x:v>
      </x:c>
      <x:c r="T40" s="14" t="str">
        <x:f>IF(AND(S40&gt;=82,R40&gt;=70,P40&gt;=85),"A",IF(S40&gt;=72,"B",IF(S40&gt;=62,"C","D")))</x:f>
        <x:v>B</x:v>
      </x:c>
      <x:c r="U40" s="14" t="str">
        <x:v>공급력 최상, AEO 공백보다는 프리미엄 대표상품 파트너</x:v>
      </x:c>
      <x:c r="V40" s="14" t="str">
        <x:v>1차 검증 완료</x:v>
      </x:c>
      <x:c r="W40" s="14" t="n">
        <x:v>5</x:v>
      </x:c>
      <x:c r="X40" s="14" t="str"/>
      <x:c r="Y40" s="14" t="str">
        <x:v>2026-08-13</x:v>
      </x:c>
    </x:row>
    <x:row r="41" ht="42" customHeight="1">
      <x:c r="A41" s="14" t="str">
        <x:v>RHY-040</x:v>
      </x:c>
      <x:c r="B41" s="14" t="str">
        <x:v>S05</x:v>
      </x:c>
      <x:c r="C41" s="14" t="str">
        <x:v>OUTDOOR</x:v>
      </x:c>
      <x:c r="D41" s="14" t="str">
        <x:v>스카이어닝·시스템파고라</x:v>
      </x:c>
      <x:c r="E41" s="14" t="str">
        <x:v>오즈텍</x:v>
      </x:c>
      <x:c r="F41" s="14" t="str">
        <x:v>제조·시공</x:v>
      </x:c>
      <x:c r="G41" s="14" t="str">
        <x:v>스카이어닝, 폴딩암, 드랍어닝, 스마트루버</x:v>
      </x:c>
      <x:c r="H41" s="14" t="str">
        <x:v>https://www.oztech.kr/</x:v>
      </x:c>
      <x:c r="I41" s="14" t="str">
        <x:v>공식</x:v>
      </x:c>
      <x:c r="J41" s="14" t="str">
        <x:v>다수 차양/파고라 시스템 제품</x:v>
      </x:c>
      <x:c r="K41" s="14" t="n">
        <x:v>62</x:v>
      </x:c>
      <x:c r="L41" s="14" t="n">
        <x:v>62</x:v>
      </x:c>
      <x:c r="M41" s="14" t="n">
        <x:v>70</x:v>
      </x:c>
      <x:c r="N41" s="14" t="n">
        <x:v>72</x:v>
      </x:c>
      <x:c r="O41" s="14" t="n">
        <x:v>58</x:v>
      </x:c>
      <x:c r="P41" s="14" t="n">
        <x:v>94</x:v>
      </x:c>
      <x:c r="Q41" s="14" t="n">
        <x:v>92</x:v>
      </x:c>
      <x:c r="R41" s="14" t="n">
        <x:f>ROUND(AVERAGE(K41:O41),0)</x:f>
        <x:v>65</x:v>
      </x:c>
      <x:c r="S41" s="14" t="n">
        <x:f>ROUND(P41*0.45+R41*0.35+Q41*0.20,0)</x:f>
        <x:v>83</x:v>
      </x:c>
      <x:c r="T41" s="14" t="str">
        <x:f>IF(AND(S41&gt;=82,R41&gt;=70,P41&gt;=85),"A",IF(S41&gt;=72,"B",IF(S41&gt;=62,"C","D")))</x:f>
        <x:v>B</x:v>
      </x:c>
      <x:c r="U41" s="14" t="str">
        <x:v>파고라+어닝 멀티카테고리 최우선 후보</x:v>
      </x:c>
      <x:c r="V41" s="14" t="str">
        <x:v>1차 검증 완료</x:v>
      </x:c>
      <x:c r="W41" s="14" t="n">
        <x:v>5</x:v>
      </x:c>
      <x:c r="X41" s="14" t="str"/>
      <x:c r="Y41" s="14" t="str">
        <x:v>2026-08-13</x:v>
      </x:c>
    </x:row>
    <x:row r="42" ht="42" customHeight="1">
      <x:c r="A42" s="14" t="str">
        <x:v>RHY-041</x:v>
      </x:c>
      <x:c r="B42" s="14" t="str">
        <x:v>S05</x:v>
      </x:c>
      <x:c r="C42" s="14" t="str">
        <x:v>OUTDOOR</x:v>
      </x:c>
      <x:c r="D42" s="14" t="str">
        <x:v>어닝</x:v>
      </x:c>
      <x:c r="E42" s="14" t="str">
        <x:v>우성테크</x:v>
      </x:c>
      <x:c r="F42" s="14" t="str">
        <x:v>제조</x:v>
      </x:c>
      <x:c r="G42" s="14" t="str">
        <x:v>1993년 설립 어닝 제작 전문</x:v>
      </x:c>
      <x:c r="H42" s="14" t="str">
        <x:v>http://www.ws-tech.co.kr/</x:v>
      </x:c>
      <x:c r="I42" s="14" t="str">
        <x:v>협력사 소개</x:v>
      </x:c>
      <x:c r="J42" s="14" t="str">
        <x:v>어닝 제조 전문, 공개 이메일 존재</x:v>
      </x:c>
      <x:c r="K42" s="14" t="n">
        <x:v>92</x:v>
      </x:c>
      <x:c r="L42" s="14" t="n">
        <x:v>92</x:v>
      </x:c>
      <x:c r="M42" s="14" t="n">
        <x:v>95</x:v>
      </x:c>
      <x:c r="N42" s="14" t="n">
        <x:v>95</x:v>
      </x:c>
      <x:c r="O42" s="14" t="n">
        <x:v>88</x:v>
      </x:c>
      <x:c r="P42" s="14" t="n">
        <x:v>94</x:v>
      </x:c>
      <x:c r="Q42" s="14" t="n">
        <x:v>70</x:v>
      </x:c>
      <x:c r="R42" s="14" t="n">
        <x:f>ROUND(AVERAGE(K42:O42),0)</x:f>
        <x:v>92</x:v>
      </x:c>
      <x:c r="S42" s="14" t="n">
        <x:f>ROUND(P42*0.45+R42*0.35+Q42*0.20,0)</x:f>
        <x:v>89</x:v>
      </x:c>
      <x:c r="T42" s="14" t="str">
        <x:f>IF(AND(S42&gt;=82,R42&gt;=70,P42&gt;=85),"A",IF(S42&gt;=72,"B",IF(S42&gt;=62,"C","D")))</x:f>
        <x:v>A</x:v>
      </x:c>
      <x:c r="U42" s="14" t="str">
        <x:v>AEO 공백 큰 전형적 제조사 후보: RHINORY가 콘텐츠/브랜드 프론트 제공</x:v>
      </x:c>
      <x:c r="V42" s="14" t="str">
        <x:v>공식사이트 재검증 필요</x:v>
      </x:c>
      <x:c r="W42" s="14" t="n">
        <x:v>4</x:v>
      </x:c>
      <x:c r="X42" s="14" t="str"/>
      <x:c r="Y42" s="14" t="str">
        <x:v>2026-08-13</x:v>
      </x:c>
    </x:row>
    <x:row r="43" ht="42" customHeight="1">
      <x:c r="A43" s="14" t="str">
        <x:v>RHY-042</x:v>
      </x:c>
      <x:c r="B43" s="14" t="str">
        <x:v>S05</x:v>
      </x:c>
      <x:c r="C43" s="14" t="str">
        <x:v>OUTDOOR</x:v>
      </x:c>
      <x:c r="D43" s="14" t="str">
        <x:v>에코어닝</x:v>
      </x:c>
      <x:c r="E43" s="14" t="str">
        <x:v>(주)에스이앤씨</x:v>
      </x:c>
      <x:c r="F43" s="14" t="str">
        <x:v>제조·시공</x:v>
      </x:c>
      <x:c r="G43" s="14" t="str">
        <x:v>수동/전동 차양 시스템</x:v>
      </x:c>
      <x:c r="H43" s="14" t="str">
        <x:v>https://www.sunbaraenc.com/contents/sub01_02.php</x:v>
      </x:c>
      <x:c r="I43" s="14" t="str">
        <x:v>공식</x:v>
      </x:c>
      <x:c r="J43" s="14" t="str">
        <x:v>에코어닝 제품 운영</x:v>
      </x:c>
      <x:c r="K43" s="14" t="n">
        <x:v>82</x:v>
      </x:c>
      <x:c r="L43" s="14" t="n">
        <x:v>82</x:v>
      </x:c>
      <x:c r="M43" s="14" t="n">
        <x:v>88</x:v>
      </x:c>
      <x:c r="N43" s="14" t="n">
        <x:v>90</x:v>
      </x:c>
      <x:c r="O43" s="14" t="n">
        <x:v>78</x:v>
      </x:c>
      <x:c r="P43" s="14" t="n">
        <x:v>88</x:v>
      </x:c>
      <x:c r="Q43" s="14" t="n">
        <x:v>70</x:v>
      </x:c>
      <x:c r="R43" s="14" t="n">
        <x:f>ROUND(AVERAGE(K43:O43),0)</x:f>
        <x:v>84</x:v>
      </x:c>
      <x:c r="S43" s="14" t="n">
        <x:f>ROUND(P43*0.45+R43*0.35+Q43*0.20,0)</x:f>
        <x:v>83</x:v>
      </x:c>
      <x:c r="T43" s="14" t="str">
        <x:f>IF(AND(S43&gt;=82,R43&gt;=70,P43&gt;=85),"A",IF(S43&gt;=72,"B",IF(S43&gt;=62,"C","D")))</x:f>
        <x:v>A</x:v>
      </x:c>
      <x:c r="U43" s="14" t="str">
        <x:v>전원주택용 전동어닝 SKU/설치 제휴</x:v>
      </x:c>
      <x:c r="V43" s="14" t="str">
        <x:v>1차 검증 완료</x:v>
      </x:c>
      <x:c r="W43" s="14" t="n">
        <x:v>4</x:v>
      </x:c>
      <x:c r="X43" s="14" t="str"/>
      <x:c r="Y43" s="14" t="str">
        <x:v>2026-08-13</x:v>
      </x:c>
    </x:row>
    <x:row r="44" ht="42" customHeight="1">
      <x:c r="A44" s="14" t="str">
        <x:v>RHY-043</x:v>
      </x:c>
      <x:c r="B44" s="14" t="str">
        <x:v>S05</x:v>
      </x:c>
      <x:c r="C44" s="14" t="str">
        <x:v>OUTDOOR</x:v>
      </x:c>
      <x:c r="D44" s="14" t="str">
        <x:v>어닝 부속·차양</x:v>
      </x:c>
      <x:c r="E44" s="14" t="str">
        <x:v>(주)주원창호</x:v>
      </x:c>
      <x:c r="F44" s="14" t="str">
        <x:v>제조</x:v>
      </x:c>
      <x:c r="G44" s="14" t="str">
        <x:v>32년 차양/어닝 부속 생산</x:v>
      </x:c>
      <x:c r="H44" s="14" t="str">
        <x:v>https://juwonchangho.com/sub/intro-01.php</x:v>
      </x:c>
      <x:c r="I44" s="14" t="str">
        <x:v>공식</x:v>
      </x:c>
      <x:c r="J44" s="14" t="str">
        <x:v>차양 전문 제조, 부속 생산 공장</x:v>
      </x:c>
      <x:c r="K44" s="14" t="n">
        <x:v>82</x:v>
      </x:c>
      <x:c r="L44" s="14" t="n">
        <x:v>82</x:v>
      </x:c>
      <x:c r="M44" s="14" t="n">
        <x:v>88</x:v>
      </x:c>
      <x:c r="N44" s="14" t="n">
        <x:v>90</x:v>
      </x:c>
      <x:c r="O44" s="14" t="n">
        <x:v>78</x:v>
      </x:c>
      <x:c r="P44" s="14" t="n">
        <x:v>95</x:v>
      </x:c>
      <x:c r="Q44" s="14" t="n">
        <x:v>74</x:v>
      </x:c>
      <x:c r="R44" s="14" t="n">
        <x:f>ROUND(AVERAGE(K44:O44),0)</x:f>
        <x:v>84</x:v>
      </x:c>
      <x:c r="S44" s="14" t="n">
        <x:f>ROUND(P44*0.45+R44*0.35+Q44*0.20,0)</x:f>
        <x:v>87</x:v>
      </x:c>
      <x:c r="T44" s="14" t="str">
        <x:f>IF(AND(S44&gt;=82,R44&gt;=70,P44&gt;=85),"A",IF(S44&gt;=72,"B",IF(S44&gt;=62,"C","D")))</x:f>
        <x:v>A</x:v>
      </x:c>
      <x:c r="U44" s="14" t="str">
        <x:v>완제품/OEM 가능성 확인 가치 높음</x:v>
      </x:c>
      <x:c r="V44" s="14" t="str">
        <x:v>1차 검증 완료</x:v>
      </x:c>
      <x:c r="W44" s="14" t="n">
        <x:v>5</x:v>
      </x:c>
      <x:c r="X44" s="14" t="str"/>
      <x:c r="Y44" s="14" t="str">
        <x:v>2026-08-13</x:v>
      </x:c>
    </x:row>
    <x:row r="45" ht="42" customHeight="1">
      <x:c r="A45" s="14" t="str">
        <x:v>RHY-044</x:v>
      </x:c>
      <x:c r="B45" s="14" t="str">
        <x:v>S05</x:v>
      </x:c>
      <x:c r="C45" s="14" t="str">
        <x:v>OUTDOOR,BOUNDARY</x:v>
      </x:c>
      <x:c r="D45" s="14" t="str">
        <x:v>합성데크·휀스</x:v>
      </x:c>
      <x:c r="E45" s="14" t="str">
        <x:v>(주)스마트합성데크</x:v>
      </x:c>
      <x:c r="F45" s="14" t="str">
        <x:v>제조·시공</x:v>
      </x:c>
      <x:c r="G45" s="14" t="str">
        <x:v>합성목재/미네랄데크, 곡면휀스</x:v>
      </x:c>
      <x:c r="H45" s="14" t="str">
        <x:v>https://www.smartwpc.co.kr/page/sub1_1</x:v>
      </x:c>
      <x:c r="I45" s="14" t="str">
        <x:v>공식</x:v>
      </x:c>
      <x:c r="J45" s="14" t="str">
        <x:v>국내 제조 1세대, 신소재 개발</x:v>
      </x:c>
      <x:c r="K45" s="14" t="n">
        <x:v>82</x:v>
      </x:c>
      <x:c r="L45" s="14" t="n">
        <x:v>82</x:v>
      </x:c>
      <x:c r="M45" s="14" t="n">
        <x:v>88</x:v>
      </x:c>
      <x:c r="N45" s="14" t="n">
        <x:v>90</x:v>
      </x:c>
      <x:c r="O45" s="14" t="n">
        <x:v>78</x:v>
      </x:c>
      <x:c r="P45" s="14" t="n">
        <x:v>96</x:v>
      </x:c>
      <x:c r="Q45" s="14" t="n">
        <x:v>94</x:v>
      </x:c>
      <x:c r="R45" s="14" t="n">
        <x:f>ROUND(AVERAGE(K45:O45),0)</x:f>
        <x:v>84</x:v>
      </x:c>
      <x:c r="S45" s="14" t="n">
        <x:f>ROUND(P45*0.45+R45*0.35+Q45*0.20,0)</x:f>
        <x:v>91</x:v>
      </x:c>
      <x:c r="T45" s="14" t="str">
        <x:f>IF(AND(S45&gt;=82,R45&gt;=70,P45&gt;=85),"A",IF(S45&gt;=72,"B",IF(S45&gt;=62,"C","D")))</x:f>
        <x:v>A</x:v>
      </x:c>
      <x:c r="U45" s="14" t="str">
        <x:v>AEO 공백 대비 제품력 강함: 최우선 제조 파트너 후보</x:v>
      </x:c>
      <x:c r="V45" s="14" t="str">
        <x:v>1차 검증 완료</x:v>
      </x:c>
      <x:c r="W45" s="14" t="n">
        <x:v>5</x:v>
      </x:c>
      <x:c r="X45" s="14" t="str"/>
      <x:c r="Y45" s="14" t="str">
        <x:v>2026-08-13</x:v>
      </x:c>
    </x:row>
    <x:row r="46" ht="42" customHeight="1">
      <x:c r="A46" s="14" t="str">
        <x:v>RHY-045</x:v>
      </x:c>
      <x:c r="B46" s="14" t="str">
        <x:v>S05</x:v>
      </x:c>
      <x:c r="C46" s="14" t="str">
        <x:v>OUTDOOR</x:v>
      </x:c>
      <x:c r="D46" s="14" t="str">
        <x:v>합성목재·데크</x:v>
      </x:c>
      <x:c r="E46" s="14" t="str">
        <x:v>지티에스</x:v>
      </x:c>
      <x:c r="F46" s="14" t="str">
        <x:v>직접제조</x:v>
      </x:c>
      <x:c r="G46" s="14" t="str">
        <x:v>합성목재/합성데크 직접 제조</x:v>
      </x:c>
      <x:c r="H46" s="14" t="str">
        <x:v>https://zts.kr/</x:v>
      </x:c>
      <x:c r="I46" s="14" t="str">
        <x:v>공식</x:v>
      </x:c>
      <x:c r="J46" s="14" t="str">
        <x:v>직접 제조 명시</x:v>
      </x:c>
      <x:c r="K46" s="14" t="n">
        <x:v>82</x:v>
      </x:c>
      <x:c r="L46" s="14" t="n">
        <x:v>82</x:v>
      </x:c>
      <x:c r="M46" s="14" t="n">
        <x:v>88</x:v>
      </x:c>
      <x:c r="N46" s="14" t="n">
        <x:v>90</x:v>
      </x:c>
      <x:c r="O46" s="14" t="n">
        <x:v>78</x:v>
      </x:c>
      <x:c r="P46" s="14" t="n">
        <x:v>94</x:v>
      </x:c>
      <x:c r="Q46" s="14" t="n">
        <x:v>78</x:v>
      </x:c>
      <x:c r="R46" s="14" t="n">
        <x:f>ROUND(AVERAGE(K46:O46),0)</x:f>
        <x:v>84</x:v>
      </x:c>
      <x:c r="S46" s="14" t="n">
        <x:f>ROUND(P46*0.45+R46*0.35+Q46*0.20,0)</x:f>
        <x:v>87</x:v>
      </x:c>
      <x:c r="T46" s="14" t="str">
        <x:f>IF(AND(S46&gt;=82,R46&gt;=70,P46&gt;=85),"A",IF(S46&gt;=72,"B",IF(S46&gt;=62,"C","D")))</x:f>
        <x:v>A</x:v>
      </x:c>
      <x:c r="U46" s="14" t="str">
        <x:v>데크재 공급가/OEM/전국 배송 조건 확인</x:v>
      </x:c>
      <x:c r="V46" s="14" t="str">
        <x:v>1차 검증 완료</x:v>
      </x:c>
      <x:c r="W46" s="14" t="n">
        <x:v>5</x:v>
      </x:c>
      <x:c r="X46" s="14" t="str"/>
      <x:c r="Y46" s="14" t="str">
        <x:v>2026-08-13</x:v>
      </x:c>
    </x:row>
    <x:row r="47" ht="42" customHeight="1">
      <x:c r="A47" s="14" t="str">
        <x:v>RHY-046</x:v>
      </x:c>
      <x:c r="B47" s="14" t="str">
        <x:v>S05</x:v>
      </x:c>
      <x:c r="C47" s="14" t="str">
        <x:v>OUTDOOR,BOUNDARY,BUILD</x:v>
      </x:c>
      <x:c r="D47" s="14" t="str">
        <x:v>합성목재·데크·펜스·사이딩</x:v>
      </x:c>
      <x:c r="E47" s="14" t="str">
        <x:v>(주)젠텍</x:v>
      </x:c>
      <x:c r="F47" s="14" t="str">
        <x:v>직접제조</x:v>
      </x:c>
      <x:c r="G47" s="14" t="str">
        <x:v>KS/친환경 인증 합성목재, 펜스, 사이딩</x:v>
      </x:c>
      <x:c r="H47" s="14" t="str">
        <x:v>https://zentechkorea.com/</x:v>
      </x:c>
      <x:c r="I47" s="14" t="str">
        <x:v>공식</x:v>
      </x:c>
      <x:c r="J47" s="14" t="str">
        <x:v>20년 기술진, 직접 생산, 복수 제품군</x:v>
      </x:c>
      <x:c r="K47" s="14" t="n">
        <x:v>62</x:v>
      </x:c>
      <x:c r="L47" s="14" t="n">
        <x:v>62</x:v>
      </x:c>
      <x:c r="M47" s="14" t="n">
        <x:v>70</x:v>
      </x:c>
      <x:c r="N47" s="14" t="n">
        <x:v>72</x:v>
      </x:c>
      <x:c r="O47" s="14" t="n">
        <x:v>58</x:v>
      </x:c>
      <x:c r="P47" s="14" t="n">
        <x:v>97</x:v>
      </x:c>
      <x:c r="Q47" s="14" t="n">
        <x:v>96</x:v>
      </x:c>
      <x:c r="R47" s="14" t="n">
        <x:f>ROUND(AVERAGE(K47:O47),0)</x:f>
        <x:v>65</x:v>
      </x:c>
      <x:c r="S47" s="14" t="n">
        <x:f>ROUND(P47*0.45+R47*0.35+Q47*0.20,0)</x:f>
        <x:v>86</x:v>
      </x:c>
      <x:c r="T47" s="14" t="str">
        <x:f>IF(AND(S47&gt;=82,R47&gt;=70,P47&gt;=85),"A",IF(S47&gt;=72,"B",IF(S47&gt;=62,"C","D")))</x:f>
        <x:v>B</x:v>
      </x:c>
      <x:c r="U47" s="14" t="str">
        <x:v>RHINORY 핵심 멀티카테고리 제조사 후보</x:v>
      </x:c>
      <x:c r="V47" s="14" t="str">
        <x:v>1차 검증 완료</x:v>
      </x:c>
      <x:c r="W47" s="14" t="n">
        <x:v>5</x:v>
      </x:c>
      <x:c r="X47" s="14" t="str"/>
      <x:c r="Y47" s="14" t="str">
        <x:v>2026-08-13</x:v>
      </x:c>
    </x:row>
    <x:row r="48" ht="42" customHeight="1">
      <x:c r="A48" s="14" t="str">
        <x:v>RHY-047</x:v>
      </x:c>
      <x:c r="B48" s="14" t="str">
        <x:v>S05</x:v>
      </x:c>
      <x:c r="C48" s="14" t="str">
        <x:v>OUTDOOR,BUILD</x:v>
      </x:c>
      <x:c r="D48" s="14" t="str">
        <x:v>합성목재·데크·사이딩</x:v>
      </x:c>
      <x:c r="E48" s="14" t="str">
        <x:v>(주)유에스씨</x:v>
      </x:c>
      <x:c r="F48" s="14" t="str">
        <x:v>제조·유통</x:v>
      </x:c>
      <x:c r="G48" s="14" t="str">
        <x:v>우드코어, 합성목재, 데크, 사이딩, 난간</x:v>
      </x:c>
      <x:c r="H48" s="14" t="str">
        <x:v>https://www.uscjk.co.kr/kr/sub1_4.php</x:v>
      </x:c>
      <x:c r="I48" s="14" t="str">
        <x:v>공식</x:v>
      </x:c>
      <x:c r="J48" s="14" t="str">
        <x:v>복수 건축/조경 자재 취급</x:v>
      </x:c>
      <x:c r="K48" s="14" t="n">
        <x:v>82</x:v>
      </x:c>
      <x:c r="L48" s="14" t="n">
        <x:v>82</x:v>
      </x:c>
      <x:c r="M48" s="14" t="n">
        <x:v>88</x:v>
      </x:c>
      <x:c r="N48" s="14" t="n">
        <x:v>90</x:v>
      </x:c>
      <x:c r="O48" s="14" t="n">
        <x:v>78</x:v>
      </x:c>
      <x:c r="P48" s="14" t="n">
        <x:v>92</x:v>
      </x:c>
      <x:c r="Q48" s="14" t="n">
        <x:v>92</x:v>
      </x:c>
      <x:c r="R48" s="14" t="n">
        <x:f>ROUND(AVERAGE(K48:O48),0)</x:f>
        <x:v>84</x:v>
      </x:c>
      <x:c r="S48" s="14" t="n">
        <x:f>ROUND(P48*0.45+R48*0.35+Q48*0.20,0)</x:f>
        <x:v>89</x:v>
      </x:c>
      <x:c r="T48" s="14" t="str">
        <x:f>IF(AND(S48&gt;=82,R48&gt;=70,P48&gt;=85),"A",IF(S48&gt;=72,"B",IF(S48&gt;=62,"C","D")))</x:f>
        <x:v>A</x:v>
      </x:c>
      <x:c r="U48" s="14" t="str">
        <x:v>데크+사이딩+난간 묶음 공급 파트너</x:v>
      </x:c>
      <x:c r="V48" s="14" t="str">
        <x:v>1차 검증 완료</x:v>
      </x:c>
      <x:c r="W48" s="14" t="n">
        <x:v>5</x:v>
      </x:c>
      <x:c r="X48" s="14" t="str"/>
      <x:c r="Y48" s="14" t="str">
        <x:v>2026-08-13</x:v>
      </x:c>
    </x:row>
    <x:row r="49" ht="42" customHeight="1">
      <x:c r="A49" s="14" t="str">
        <x:v>RHY-048</x:v>
      </x:c>
      <x:c r="B49" s="14" t="str">
        <x:v>S05</x:v>
      </x:c>
      <x:c r="C49" s="14" t="str">
        <x:v>OUTDOOR</x:v>
      </x:c>
      <x:c r="D49" s="14" t="str">
        <x:v>합성데크·휀스</x:v>
      </x:c>
      <x:c r="E49" s="14" t="str">
        <x:v>(주)S합성데크</x:v>
      </x:c>
      <x:c r="F49" s="14" t="str">
        <x:v>제조·시공</x:v>
      </x:c>
      <x:c r="G49" s="14" t="str">
        <x:v>미네랄데크, 휀스, 철구조물, 전원주택</x:v>
      </x:c>
      <x:c r="H49" s="14" t="str">
        <x:v>https://sdeck.co.kr/default/02/01.php</x:v>
      </x:c>
      <x:c r="I49" s="14" t="str">
        <x:v>공식</x:v>
      </x:c>
      <x:c r="J49" s="14" t="str">
        <x:v>제조 1세대 및 시공 분야 명시</x:v>
      </x:c>
      <x:c r="K49" s="14" t="n">
        <x:v>92</x:v>
      </x:c>
      <x:c r="L49" s="14" t="n">
        <x:v>92</x:v>
      </x:c>
      <x:c r="M49" s="14" t="n">
        <x:v>95</x:v>
      </x:c>
      <x:c r="N49" s="14" t="n">
        <x:v>95</x:v>
      </x:c>
      <x:c r="O49" s="14" t="n">
        <x:v>88</x:v>
      </x:c>
      <x:c r="P49" s="14" t="n">
        <x:v>92</x:v>
      </x:c>
      <x:c r="Q49" s="14" t="n">
        <x:v>86</x:v>
      </x:c>
      <x:c r="R49" s="14" t="n">
        <x:f>ROUND(AVERAGE(K49:O49),0)</x:f>
        <x:v>92</x:v>
      </x:c>
      <x:c r="S49" s="14" t="n">
        <x:f>ROUND(P49*0.45+R49*0.35+Q49*0.20,0)</x:f>
        <x:v>91</x:v>
      </x:c>
      <x:c r="T49" s="14" t="str">
        <x:f>IF(AND(S49&gt;=82,R49&gt;=70,P49&gt;=85),"A",IF(S49&gt;=72,"B",IF(S49&gt;=62,"C","D")))</x:f>
        <x:v>A</x:v>
      </x:c>
      <x:c r="U49" s="14" t="str">
        <x:v>AEO 공백 큰 제조/시공사 후보</x:v>
      </x:c>
      <x:c r="V49" s="14" t="str">
        <x:v>1차 검증 완료</x:v>
      </x:c>
      <x:c r="W49" s="14" t="n">
        <x:v>5</x:v>
      </x:c>
      <x:c r="X49" s="14" t="str"/>
      <x:c r="Y49" s="14" t="str">
        <x:v>2026-08-13</x:v>
      </x:c>
    </x:row>
    <x:row r="50" ht="42" customHeight="1">
      <x:c r="A50" s="14" t="str">
        <x:v>RHY-049</x:v>
      </x:c>
      <x:c r="B50" s="14" t="str">
        <x:v>S05</x:v>
      </x:c>
      <x:c r="C50" s="14" t="str">
        <x:v>OUTDOOR</x:v>
      </x:c>
      <x:c r="D50" s="14" t="str">
        <x:v>야외가구</x:v>
      </x:c>
      <x:c r="E50" s="14" t="str">
        <x:v>가든프렌즈 B2B</x:v>
      </x:c>
      <x:c r="F50" s="14" t="str">
        <x:v>직수입·도매</x:v>
      </x:c>
      <x:c r="G50" s="14" t="str">
        <x:v>해외 공장 직계약, 야외가구 B2B</x:v>
      </x:c>
      <x:c r="H50" s="14" t="str">
        <x:v>https://www.b2bgarden.co.kr/content/content.php?cont=brand_story</x:v>
      </x:c>
      <x:c r="I50" s="14" t="str">
        <x:v>공식</x:v>
      </x:c>
      <x:c r="J50" s="14" t="str">
        <x:v>직수입·도매·납품 전문</x:v>
      </x:c>
      <x:c r="K50" s="14" t="n">
        <x:v>62</x:v>
      </x:c>
      <x:c r="L50" s="14" t="n">
        <x:v>62</x:v>
      </x:c>
      <x:c r="M50" s="14" t="n">
        <x:v>70</x:v>
      </x:c>
      <x:c r="N50" s="14" t="n">
        <x:v>72</x:v>
      </x:c>
      <x:c r="O50" s="14" t="n">
        <x:v>58</x:v>
      </x:c>
      <x:c r="P50" s="14" t="n">
        <x:v>93</x:v>
      </x:c>
      <x:c r="Q50" s="14" t="n">
        <x:v>72</x:v>
      </x:c>
      <x:c r="R50" s="14" t="n">
        <x:f>ROUND(AVERAGE(K50:O50),0)</x:f>
        <x:v>65</x:v>
      </x:c>
      <x:c r="S50" s="14" t="n">
        <x:f>ROUND(P50*0.45+R50*0.35+Q50*0.20,0)</x:f>
        <x:v>79</x:v>
      </x:c>
      <x:c r="T50" s="14" t="str">
        <x:f>IF(AND(S50&gt;=82,R50&gt;=70,P50&gt;=85),"A",IF(S50&gt;=72,"B",IF(S50&gt;=62,"C","D")))</x:f>
        <x:v>B</x:v>
      </x:c>
      <x:c r="U50" s="14" t="str">
        <x:v>RHINORY SHOP 야외가구 공급처로 즉시 검토</x:v>
      </x:c>
      <x:c r="V50" s="14" t="str">
        <x:v>1차 검증 완료</x:v>
      </x:c>
      <x:c r="W50" s="14" t="n">
        <x:v>5</x:v>
      </x:c>
      <x:c r="X50" s="14" t="str"/>
      <x:c r="Y50" s="14" t="str">
        <x:v>2026-08-13</x:v>
      </x:c>
    </x:row>
    <x:row r="51" ht="42" customHeight="1">
      <x:c r="A51" s="14" t="str">
        <x:v>RHY-050</x:v>
      </x:c>
      <x:c r="B51" s="14" t="str">
        <x:v>S05</x:v>
      </x:c>
      <x:c r="C51" s="14" t="str">
        <x:v>OUTDOOR</x:v>
      </x:c>
      <x:c r="D51" s="14" t="str">
        <x:v>아웃도어가구</x:v>
      </x:c>
      <x:c r="E51" s="14" t="str">
        <x:v>(주)다나무</x:v>
      </x:c>
      <x:c r="F51" s="14" t="str">
        <x:v>OEM·수입·공급</x:v>
      </x:c>
      <x:c r="G51" s="14" t="str">
        <x:v>6개국 OEM/브랜드 공장 생산, 국내 공급</x:v>
      </x:c>
      <x:c r="H51" s="14" t="str">
        <x:v>https://www.danamoo.co.kr/aboutus</x:v>
      </x:c>
      <x:c r="I51" s="14" t="str">
        <x:v>공식</x:v>
      </x:c>
      <x:c r="J51" s="14" t="str">
        <x:v>한국 시장용 아웃도어 가구 생산/공급</x:v>
      </x:c>
      <x:c r="K51" s="14" t="n">
        <x:v>62</x:v>
      </x:c>
      <x:c r="L51" s="14" t="n">
        <x:v>62</x:v>
      </x:c>
      <x:c r="M51" s="14" t="n">
        <x:v>70</x:v>
      </x:c>
      <x:c r="N51" s="14" t="n">
        <x:v>72</x:v>
      </x:c>
      <x:c r="O51" s="14" t="n">
        <x:v>58</x:v>
      </x:c>
      <x:c r="P51" s="14" t="n">
        <x:v>95</x:v>
      </x:c>
      <x:c r="Q51" s="14" t="n">
        <x:v>75</x:v>
      </x:c>
      <x:c r="R51" s="14" t="n">
        <x:f>ROUND(AVERAGE(K51:O51),0)</x:f>
        <x:v>65</x:v>
      </x:c>
      <x:c r="S51" s="14" t="n">
        <x:f>ROUND(P51*0.45+R51*0.35+Q51*0.20,0)</x:f>
        <x:v>81</x:v>
      </x:c>
      <x:c r="T51" s="14" t="str">
        <x:f>IF(AND(S51&gt;=82,R51&gt;=70,P51&gt;=85),"A",IF(S51&gt;=72,"B",IF(S51&gt;=62,"C","D")))</x:f>
        <x:v>B</x:v>
      </x:c>
      <x:c r="U51" s="14" t="str">
        <x:v>PB/OEM 가능성까지 포함해 최우선 확인</x:v>
      </x:c>
      <x:c r="V51" s="14" t="str">
        <x:v>1차 검증 완료</x:v>
      </x:c>
      <x:c r="W51" s="14" t="n">
        <x:v>5</x:v>
      </x:c>
      <x:c r="X51" s="14" t="str"/>
      <x:c r="Y51" s="14" t="str">
        <x:v>2026-08-13</x:v>
      </x:c>
    </x:row>
    <x:row r="52" ht="42" customHeight="1">
      <x:c r="A52" s="14" t="str">
        <x:v>RHY-051</x:v>
      </x:c>
      <x:c r="B52" s="14" t="str">
        <x:v>S05</x:v>
      </x:c>
      <x:c r="C52" s="14" t="str">
        <x:v>OUTDOOR</x:v>
      </x:c>
      <x:c r="D52" s="14" t="str">
        <x:v>아웃도어키친</x:v>
      </x:c>
      <x:c r="E52" s="14" t="str">
        <x:v>리스퀘어</x:v>
      </x:c>
      <x:c r="F52" s="14" t="str">
        <x:v>맞춤제작</x:v>
      </x:c>
      <x:c r="G52" s="14" t="str">
        <x:v>스테인리스 야외주방 맞춤제작</x:v>
      </x:c>
      <x:c r="H52" s="14" t="str">
        <x:v>https://lisquare4u.tistory.com/265</x:v>
      </x:c>
      <x:c r="I52" s="14" t="str">
        <x:v>브랜드 콘텐츠</x:v>
      </x:c>
      <x:c r="J52" s="14" t="str">
        <x:v>전원주택 테라스 아웃도어키친 실제 제작</x:v>
      </x:c>
      <x:c r="K52" s="14" t="n">
        <x:v>82</x:v>
      </x:c>
      <x:c r="L52" s="14" t="n">
        <x:v>82</x:v>
      </x:c>
      <x:c r="M52" s="14" t="n">
        <x:v>88</x:v>
      </x:c>
      <x:c r="N52" s="14" t="n">
        <x:v>90</x:v>
      </x:c>
      <x:c r="O52" s="14" t="n">
        <x:v>78</x:v>
      </x:c>
      <x:c r="P52" s="14" t="n">
        <x:v>92</x:v>
      </x:c>
      <x:c r="Q52" s="14" t="n">
        <x:v>68</x:v>
      </x:c>
      <x:c r="R52" s="14" t="n">
        <x:f>ROUND(AVERAGE(K52:O52),0)</x:f>
        <x:v>84</x:v>
      </x:c>
      <x:c r="S52" s="14" t="n">
        <x:f>ROUND(P52*0.45+R52*0.35+Q52*0.20,0)</x:f>
        <x:v>84</x:v>
      </x:c>
      <x:c r="T52" s="14" t="str">
        <x:f>IF(AND(S52&gt;=82,R52&gt;=70,P52&gt;=85),"A",IF(S52&gt;=72,"B",IF(S52&gt;=62,"C","D")))</x:f>
        <x:v>A</x:v>
      </x:c>
      <x:c r="U52" s="14" t="str">
        <x:v>고객 로망형 고가상품: RHINORY 견적/콘텐츠에 적합</x:v>
      </x:c>
      <x:c r="V52" s="14" t="str">
        <x:v>공식사이트 재검증 필요</x:v>
      </x:c>
      <x:c r="W52" s="14" t="n">
        <x:v>3</x:v>
      </x:c>
      <x:c r="X52" s="14" t="str"/>
      <x:c r="Y52" s="14" t="str">
        <x:v>2026-08-13</x:v>
      </x:c>
    </x:row>
    <x:row r="53" ht="42" customHeight="1">
      <x:c r="A53" s="14" t="str">
        <x:v>RHY-052</x:v>
      </x:c>
      <x:c r="B53" s="14" t="str">
        <x:v>S05,S10,S03</x:v>
      </x:c>
      <x:c r="C53" s="14" t="str">
        <x:v>OUTDOOR,STORAGE,BUILD</x:v>
      </x:c>
      <x:c r="D53" s="14" t="str">
        <x:v>퍼걸러·벤치·분리수거장·울타리</x:v>
      </x:c>
      <x:c r="E53" s="14" t="str">
        <x:v>티파니조경</x:v>
      </x:c>
      <x:c r="F53" s="14" t="str">
        <x:v>제조·조경시설</x:v>
      </x:c>
      <x:c r="G53" s="14" t="str">
        <x:v>퍼걸러, 정자, 야외테이블, 분리수거장, 차양, 휀스</x:v>
      </x:c>
      <x:c r="H53" s="14" t="str">
        <x:v>https://tfnland.co.kr/</x:v>
      </x:c>
      <x:c r="I53" s="14" t="str">
        <x:v>공식</x:v>
      </x:c>
      <x:c r="J53" s="14" t="str">
        <x:v>매우 넓은 조경시설 제품군</x:v>
      </x:c>
      <x:c r="K53" s="14" t="n">
        <x:v>82</x:v>
      </x:c>
      <x:c r="L53" s="14" t="n">
        <x:v>82</x:v>
      </x:c>
      <x:c r="M53" s="14" t="n">
        <x:v>88</x:v>
      </x:c>
      <x:c r="N53" s="14" t="n">
        <x:v>90</x:v>
      </x:c>
      <x:c r="O53" s="14" t="n">
        <x:v>78</x:v>
      </x:c>
      <x:c r="P53" s="14" t="n">
        <x:v>96</x:v>
      </x:c>
      <x:c r="Q53" s="14" t="n">
        <x:v>100</x:v>
      </x:c>
      <x:c r="R53" s="14" t="n">
        <x:f>ROUND(AVERAGE(K53:O53),0)</x:f>
        <x:v>84</x:v>
      </x:c>
      <x:c r="S53" s="14" t="n">
        <x:f>ROUND(P53*0.45+R53*0.35+Q53*0.20,0)</x:f>
        <x:v>93</x:v>
      </x:c>
      <x:c r="T53" s="14" t="str">
        <x:f>IF(AND(S53&gt;=82,R53&gt;=70,P53&gt;=85),"A",IF(S53&gt;=72,"B",IF(S53&gt;=62,"C","D")))</x:f>
        <x:v>A</x:v>
      </x:c>
      <x:c r="U53" s="14" t="str">
        <x:v>최우선 멀티카테고리 제조/시공사 후보</x:v>
      </x:c>
      <x:c r="V53" s="14" t="str">
        <x:v>1차 검증 완료</x:v>
      </x:c>
      <x:c r="W53" s="14" t="n">
        <x:v>5</x:v>
      </x:c>
      <x:c r="X53" s="14" t="str"/>
      <x:c r="Y53" s="14" t="str">
        <x:v>2026-08-13</x:v>
      </x:c>
    </x:row>
    <x:row r="54" ht="42" customHeight="1">
      <x:c r="A54" s="14" t="str">
        <x:v>RHY-053</x:v>
      </x:c>
      <x:c r="B54" s="14" t="str">
        <x:v>S05,S10,S03</x:v>
      </x:c>
      <x:c r="C54" s="14" t="str">
        <x:v>OUTDOOR,BOUNDARY,STORAGE</x:v>
      </x:c>
      <x:c r="D54" s="14" t="str">
        <x:v>퍼걸러·울타리·펫시설·플랜터·재활용쉘터</x:v>
      </x:c>
      <x:c r="E54" s="14" t="str">
        <x:v>(자)어반스케이프</x:v>
      </x:c>
      <x:c r="F54" s="14" t="str">
        <x:v>제조·조경시설</x:v>
      </x:c>
      <x:c r="G54" s="14" t="str">
        <x:v>조달물품 다수, 반려동물시설, 퍼걸러, 울타리, 플랜터</x:v>
      </x:c>
      <x:c r="H54" s="14" t="str">
        <x:v>https://m.urbanscape.co.kr/myboard/myboard23</x:v>
      </x:c>
      <x:c r="I54" s="14" t="str">
        <x:v>공식</x:v>
      </x:c>
      <x:c r="J54" s="14" t="str">
        <x:v>제품군/카탈로그/시방서까지 매우 넓음</x:v>
      </x:c>
      <x:c r="K54" s="14" t="n">
        <x:v>62</x:v>
      </x:c>
      <x:c r="L54" s="14" t="n">
        <x:v>62</x:v>
      </x:c>
      <x:c r="M54" s="14" t="n">
        <x:v>70</x:v>
      </x:c>
      <x:c r="N54" s="14" t="n">
        <x:v>72</x:v>
      </x:c>
      <x:c r="O54" s="14" t="n">
        <x:v>58</x:v>
      </x:c>
      <x:c r="P54" s="14" t="n">
        <x:v>98</x:v>
      </x:c>
      <x:c r="Q54" s="14" t="n">
        <x:v>100</x:v>
      </x:c>
      <x:c r="R54" s="14" t="n">
        <x:f>ROUND(AVERAGE(K54:O54),0)</x:f>
        <x:v>65</x:v>
      </x:c>
      <x:c r="S54" s="14" t="n">
        <x:f>ROUND(P54*0.45+R54*0.35+Q54*0.20,0)</x:f>
        <x:v>87</x:v>
      </x:c>
      <x:c r="T54" s="14" t="str">
        <x:f>IF(AND(S54&gt;=82,R54&gt;=70,P54&gt;=85),"A",IF(S54&gt;=72,"B",IF(S54&gt;=62,"C","D")))</x:f>
        <x:v>B</x:v>
      </x:c>
      <x:c r="U54" s="14" t="str">
        <x:v>제품력 매우 강한 멀티 공급사. AEO보단 공급폭 가치가 큼</x:v>
      </x:c>
      <x:c r="V54" s="14" t="str">
        <x:v>1차 검증 완료</x:v>
      </x:c>
      <x:c r="W54" s="14" t="n">
        <x:v>5</x:v>
      </x:c>
      <x:c r="X54" s="14" t="str"/>
      <x:c r="Y54" s="14" t="str">
        <x:v>2026-08-13</x:v>
      </x:c>
    </x:row>
    <x:row r="55" ht="42" customHeight="1">
      <x:c r="A55" s="14" t="str">
        <x:v>RHY-054</x:v>
      </x:c>
      <x:c r="B55" s="14" t="str">
        <x:v>S05,S10,S03</x:v>
      </x:c>
      <x:c r="C55" s="14" t="str">
        <x:v>OUTDOOR,BUILD</x:v>
      </x:c>
      <x:c r="D55" s="14" t="str">
        <x:v>퍼걸러·놀이·부스·컨테이너</x:v>
      </x:c>
      <x:c r="E55" s="14" t="str">
        <x:v>주식회사 큐</x:v>
      </x:c>
      <x:c r="F55" s="14" t="str">
        <x:v>제조·시설물</x:v>
      </x:c>
      <x:c r="G55" s="14" t="str">
        <x:v>퍼걸러, 놀이터, 운동기구, 부스, 컨테이너</x:v>
      </x:c>
      <x:c r="H55" s="14" t="str">
        <x:v>https://q22.co.kr/</x:v>
      </x:c>
      <x:c r="I55" s="14" t="str">
        <x:v>공식</x:v>
      </x:c>
      <x:c r="J55" s="14" t="str">
        <x:v>조경시설물과 컨테이너 등 다품목</x:v>
      </x:c>
      <x:c r="K55" s="14" t="n">
        <x:v>82</x:v>
      </x:c>
      <x:c r="L55" s="14" t="n">
        <x:v>82</x:v>
      </x:c>
      <x:c r="M55" s="14" t="n">
        <x:v>88</x:v>
      </x:c>
      <x:c r="N55" s="14" t="n">
        <x:v>90</x:v>
      </x:c>
      <x:c r="O55" s="14" t="n">
        <x:v>78</x:v>
      </x:c>
      <x:c r="P55" s="14" t="n">
        <x:v>95</x:v>
      </x:c>
      <x:c r="Q55" s="14" t="n">
        <x:v>96</x:v>
      </x:c>
      <x:c r="R55" s="14" t="n">
        <x:f>ROUND(AVERAGE(K55:O55),0)</x:f>
        <x:v>84</x:v>
      </x:c>
      <x:c r="S55" s="14" t="n">
        <x:f>ROUND(P55*0.45+R55*0.35+Q55*0.20,0)</x:f>
        <x:v>91</x:v>
      </x:c>
      <x:c r="T55" s="14" t="str">
        <x:f>IF(AND(S55&gt;=82,R55&gt;=70,P55&gt;=85),"A",IF(S55&gt;=72,"B",IF(S55&gt;=62,"C","D")))</x:f>
        <x:v>A</x:v>
      </x:c>
      <x:c r="U55" s="14" t="str">
        <x:v>RHINORY 여러 카테고리 일괄 공급 협상 후보</x:v>
      </x:c>
      <x:c r="V55" s="14" t="str">
        <x:v>1차 검증 완료</x:v>
      </x:c>
      <x:c r="W55" s="14" t="n">
        <x:v>5</x:v>
      </x:c>
      <x:c r="X55" s="14" t="str"/>
      <x:c r="Y55" s="14" t="str">
        <x:v>2026-08-13</x:v>
      </x:c>
    </x:row>
    <x:row r="56" ht="42" customHeight="1">
      <x:c r="A56" s="14" t="str">
        <x:v>RHY-055</x:v>
      </x:c>
      <x:c r="B56" s="14" t="str">
        <x:v>S05</x:v>
      </x:c>
      <x:c r="C56" s="14" t="str">
        <x:v>OUTDOOR</x:v>
      </x:c>
      <x:c r="D56" s="14" t="str">
        <x:v>파고라·퍼걸러</x:v>
      </x:c>
      <x:c r="E56" s="14" t="str">
        <x:v>플랜휴(PLANHU)</x:v>
      </x:c>
      <x:c r="F56" s="14" t="str">
        <x:v>제조·조경시설</x:v>
      </x:c>
      <x:c r="G56" s="14" t="str">
        <x:v>전통형/휴게시설 파고라</x:v>
      </x:c>
      <x:c r="H56" s="14" t="str">
        <x:v>https://www.planhu.com/49</x:v>
      </x:c>
      <x:c r="I56" s="14" t="str">
        <x:v>공식</x:v>
      </x:c>
      <x:c r="J56" s="14" t="str">
        <x:v>퍼걸러 제품 규격 공개</x:v>
      </x:c>
      <x:c r="K56" s="14" t="n">
        <x:v>82</x:v>
      </x:c>
      <x:c r="L56" s="14" t="n">
        <x:v>82</x:v>
      </x:c>
      <x:c r="M56" s="14" t="n">
        <x:v>88</x:v>
      </x:c>
      <x:c r="N56" s="14" t="n">
        <x:v>90</x:v>
      </x:c>
      <x:c r="O56" s="14" t="n">
        <x:v>78</x:v>
      </x:c>
      <x:c r="P56" s="14" t="n">
        <x:v>88</x:v>
      </x:c>
      <x:c r="Q56" s="14" t="n">
        <x:v>70</x:v>
      </x:c>
      <x:c r="R56" s="14" t="n">
        <x:f>ROUND(AVERAGE(K56:O56),0)</x:f>
        <x:v>84</x:v>
      </x:c>
      <x:c r="S56" s="14" t="n">
        <x:f>ROUND(P56*0.45+R56*0.35+Q56*0.20,0)</x:f>
        <x:v>83</x:v>
      </x:c>
      <x:c r="T56" s="14" t="str">
        <x:f>IF(AND(S56&gt;=82,R56&gt;=70,P56&gt;=85),"A",IF(S56&gt;=72,"B",IF(S56&gt;=62,"C","D")))</x:f>
        <x:v>A</x:v>
      </x:c>
      <x:c r="U56" s="14" t="str">
        <x:v>주택용 디자인 파고라 라인 재구성 제안</x:v>
      </x:c>
      <x:c r="V56" s="14" t="str">
        <x:v>1차 검증 완료</x:v>
      </x:c>
      <x:c r="W56" s="14" t="n">
        <x:v>4</x:v>
      </x:c>
      <x:c r="X56" s="14" t="str"/>
      <x:c r="Y56" s="14" t="str">
        <x:v>2026-08-13</x:v>
      </x:c>
    </x:row>
    <x:row r="57" ht="42" customHeight="1">
      <x:c r="A57" s="14" t="str">
        <x:v>RHY-056</x:v>
      </x:c>
      <x:c r="B57" s="14" t="str">
        <x:v>S06</x:v>
      </x:c>
      <x:c r="C57" s="14" t="str">
        <x:v>WATER</x:v>
      </x:c>
      <x:c r="D57" s="14" t="str">
        <x:v>수영장·수처리</x:v>
      </x:c>
      <x:c r="E57" s="14" t="str">
        <x:v>워터케이</x:v>
      </x:c>
      <x:c r="F57" s="14" t="str">
        <x:v>시공·설비</x:v>
      </x:c>
      <x:c r="G57" s="14" t="str">
        <x:v>수영장 공사/설비, 수처리</x:v>
      </x:c>
      <x:c r="H57" s="14" t="str">
        <x:v>https://waterk.co.kr/</x:v>
      </x:c>
      <x:c r="I57" s="14" t="str">
        <x:v>공식</x:v>
      </x:c>
      <x:c r="J57" s="14" t="str">
        <x:v>수영장/수처리 전문기업</x:v>
      </x:c>
      <x:c r="K57" s="14" t="n">
        <x:v>82</x:v>
      </x:c>
      <x:c r="L57" s="14" t="n">
        <x:v>82</x:v>
      </x:c>
      <x:c r="M57" s="14" t="n">
        <x:v>88</x:v>
      </x:c>
      <x:c r="N57" s="14" t="n">
        <x:v>90</x:v>
      </x:c>
      <x:c r="O57" s="14" t="n">
        <x:v>78</x:v>
      </x:c>
      <x:c r="P57" s="14" t="n">
        <x:v>94</x:v>
      </x:c>
      <x:c r="Q57" s="14" t="n">
        <x:v>80</x:v>
      </x:c>
      <x:c r="R57" s="14" t="n">
        <x:f>ROUND(AVERAGE(K57:O57),0)</x:f>
        <x:v>84</x:v>
      </x:c>
      <x:c r="S57" s="14" t="n">
        <x:f>ROUND(P57*0.45+R57*0.35+Q57*0.20,0)</x:f>
        <x:v>88</x:v>
      </x:c>
      <x:c r="T57" s="14" t="str">
        <x:f>IF(AND(S57&gt;=82,R57&gt;=70,P57&gt;=85),"A",IF(S57&gt;=72,"B",IF(S57&gt;=62,"C","D")))</x:f>
        <x:v>A</x:v>
      </x:c>
      <x:c r="U57" s="14" t="str">
        <x:v>전원주택 수영장 표준패키지/견적 리드 파트너</x:v>
      </x:c>
      <x:c r="V57" s="14" t="str">
        <x:v>1차 검증 완료</x:v>
      </x:c>
      <x:c r="W57" s="14" t="n">
        <x:v>5</x:v>
      </x:c>
      <x:c r="X57" s="14" t="str"/>
      <x:c r="Y57" s="14" t="str">
        <x:v>2026-08-13</x:v>
      </x:c>
    </x:row>
    <x:row r="58" ht="42" customHeight="1">
      <x:c r="A58" s="14" t="str">
        <x:v>RHY-057</x:v>
      </x:c>
      <x:c r="B58" s="14" t="str">
        <x:v>S06</x:v>
      </x:c>
      <x:c r="C58" s="14" t="str">
        <x:v>WATER</x:v>
      </x:c>
      <x:c r="D58" s="14" t="str">
        <x:v>수영장·워터파크</x:v>
      </x:c>
      <x:c r="E58" s="14" t="str">
        <x:v>스파코리아</x:v>
      </x:c>
      <x:c r="F58" s="14" t="str">
        <x:v>설계·시공</x:v>
      </x:c>
      <x:c r="G58" s="14" t="str">
        <x:v>수영장/워터파크 설계 시공</x:v>
      </x:c>
      <x:c r="H58" s="14" t="str">
        <x:v>https://www.spakorea.kr/</x:v>
      </x:c>
      <x:c r="I58" s="14" t="str">
        <x:v>공식</x:v>
      </x:c>
      <x:c r="J58" s="14" t="str">
        <x:v>수영장 전문 시공 경력 강조</x:v>
      </x:c>
      <x:c r="K58" s="14" t="n">
        <x:v>62</x:v>
      </x:c>
      <x:c r="L58" s="14" t="n">
        <x:v>62</x:v>
      </x:c>
      <x:c r="M58" s="14" t="n">
        <x:v>70</x:v>
      </x:c>
      <x:c r="N58" s="14" t="n">
        <x:v>72</x:v>
      </x:c>
      <x:c r="O58" s="14" t="n">
        <x:v>58</x:v>
      </x:c>
      <x:c r="P58" s="14" t="n">
        <x:v>92</x:v>
      </x:c>
      <x:c r="Q58" s="14" t="n">
        <x:v>76</x:v>
      </x:c>
      <x:c r="R58" s="14" t="n">
        <x:f>ROUND(AVERAGE(K58:O58),0)</x:f>
        <x:v>65</x:v>
      </x:c>
      <x:c r="S58" s="14" t="n">
        <x:f>ROUND(P58*0.45+R58*0.35+Q58*0.20,0)</x:f>
        <x:v>79</x:v>
      </x:c>
      <x:c r="T58" s="14" t="str">
        <x:f>IF(AND(S58&gt;=82,R58&gt;=70,P58&gt;=85),"A",IF(S58&gt;=72,"B",IF(S58&gt;=62,"C","D")))</x:f>
        <x:v>B</x:v>
      </x:c>
      <x:c r="U58" s="14" t="str">
        <x:v>고가 수영장 견적형 파트너</x:v>
      </x:c>
      <x:c r="V58" s="14" t="str">
        <x:v>1차 검증 완료</x:v>
      </x:c>
      <x:c r="W58" s="14" t="n">
        <x:v>5</x:v>
      </x:c>
      <x:c r="X58" s="14" t="str"/>
      <x:c r="Y58" s="14" t="str">
        <x:v>2026-08-13</x:v>
      </x:c>
    </x:row>
    <x:row r="59" ht="42" customHeight="1">
      <x:c r="A59" s="14" t="str">
        <x:v>RHY-058</x:v>
      </x:c>
      <x:c r="B59" s="14" t="str">
        <x:v>S06</x:v>
      </x:c>
      <x:c r="C59" s="14" t="str">
        <x:v>WATER</x:v>
      </x:c>
      <x:c r="D59" s="14" t="str">
        <x:v>조립식/상업 수영장</x:v>
      </x:c>
      <x:c r="E59" s="14" t="str">
        <x:v>뉴트랜드</x:v>
      </x:c>
      <x:c r="F59" s="14" t="str">
        <x:v>수영장 전문</x:v>
      </x:c>
      <x:c r="G59" s="14" t="str">
        <x:v>Myrtha 풀 등 조립식 시스템</x:v>
      </x:c>
      <x:c r="H59" s="14" t="str">
        <x:v>https://newtrend.co.kr/</x:v>
      </x:c>
      <x:c r="I59" s="14" t="str">
        <x:v>공식</x:v>
      </x:c>
      <x:c r="J59" s="14" t="str">
        <x:v>수영장 전문회사</x:v>
      </x:c>
      <x:c r="K59" s="14" t="n">
        <x:v>82</x:v>
      </x:c>
      <x:c r="L59" s="14" t="n">
        <x:v>82</x:v>
      </x:c>
      <x:c r="M59" s="14" t="n">
        <x:v>88</x:v>
      </x:c>
      <x:c r="N59" s="14" t="n">
        <x:v>90</x:v>
      </x:c>
      <x:c r="O59" s="14" t="n">
        <x:v>78</x:v>
      </x:c>
      <x:c r="P59" s="14" t="n">
        <x:v>90</x:v>
      </x:c>
      <x:c r="Q59" s="14" t="n">
        <x:v>72</x:v>
      </x:c>
      <x:c r="R59" s="14" t="n">
        <x:f>ROUND(AVERAGE(K59:O59),0)</x:f>
        <x:v>84</x:v>
      </x:c>
      <x:c r="S59" s="14" t="n">
        <x:f>ROUND(P59*0.45+R59*0.35+Q59*0.20,0)</x:f>
        <x:v>84</x:v>
      </x:c>
      <x:c r="T59" s="14" t="str">
        <x:f>IF(AND(S59&gt;=82,R59&gt;=70,P59&gt;=85),"A",IF(S59&gt;=72,"B",IF(S59&gt;=62,"C","D")))</x:f>
        <x:v>A</x:v>
      </x:c>
      <x:c r="U59" s="14" t="str">
        <x:v>전원주택 적용 가능한 소형/조립식 라인 확인</x:v>
      </x:c>
      <x:c r="V59" s="14" t="str">
        <x:v>1차 검증 완료</x:v>
      </x:c>
      <x:c r="W59" s="14" t="n">
        <x:v>4</x:v>
      </x:c>
      <x:c r="X59" s="14" t="str"/>
      <x:c r="Y59" s="14" t="str">
        <x:v>2026-08-13</x:v>
      </x:c>
    </x:row>
    <x:row r="60" ht="42" customHeight="1">
      <x:c r="A60" s="14" t="str">
        <x:v>RHY-059</x:v>
      </x:c>
      <x:c r="B60" s="14" t="str">
        <x:v>S06</x:v>
      </x:c>
      <x:c r="C60" s="14" t="str">
        <x:v>WATER</x:v>
      </x:c>
      <x:c r="D60" s="14" t="str">
        <x:v>수영장·사우나·수처리</x:v>
      </x:c>
      <x:c r="E60" s="14" t="str">
        <x:v>수상(수상엔지니어링)</x:v>
      </x:c>
      <x:c r="F60" s="14" t="str">
        <x:v>설비·시스템</x:v>
      </x:c>
      <x:c r="G60" s="14" t="str">
        <x:v>수영장, 사우나, 수처리, 이동식 풀</x:v>
      </x:c>
      <x:c r="H60" s="14" t="str">
        <x:v>https://susang.co.kr/pool-installation</x:v>
      </x:c>
      <x:c r="I60" s="14" t="str">
        <x:v>공식</x:v>
      </x:c>
      <x:c r="J60" s="14" t="str">
        <x:v>수영장+사우나+수처리 멀티 시스템</x:v>
      </x:c>
      <x:c r="K60" s="14" t="n">
        <x:v>82</x:v>
      </x:c>
      <x:c r="L60" s="14" t="n">
        <x:v>82</x:v>
      </x:c>
      <x:c r="M60" s="14" t="n">
        <x:v>88</x:v>
      </x:c>
      <x:c r="N60" s="14" t="n">
        <x:v>90</x:v>
      </x:c>
      <x:c r="O60" s="14" t="n">
        <x:v>78</x:v>
      </x:c>
      <x:c r="P60" s="14" t="n">
        <x:v>96</x:v>
      </x:c>
      <x:c r="Q60" s="14" t="n">
        <x:v>96</x:v>
      </x:c>
      <x:c r="R60" s="14" t="n">
        <x:f>ROUND(AVERAGE(K60:O60),0)</x:f>
        <x:v>84</x:v>
      </x:c>
      <x:c r="S60" s="14" t="n">
        <x:f>ROUND(P60*0.45+R60*0.35+Q60*0.20,0)</x:f>
        <x:v>92</x:v>
      </x:c>
      <x:c r="T60" s="14" t="str">
        <x:f>IF(AND(S60&gt;=82,R60&gt;=70,P60&gt;=85),"A",IF(S60&gt;=72,"B",IF(S60&gt;=62,"C","D")))</x:f>
        <x:v>A</x:v>
      </x:c>
      <x:c r="U60" s="14" t="str">
        <x:v>WATER/WELLNESS 통합 공급 최우선 후보</x:v>
      </x:c>
      <x:c r="V60" s="14" t="str">
        <x:v>1차 검증 완료</x:v>
      </x:c>
      <x:c r="W60" s="14" t="n">
        <x:v>5</x:v>
      </x:c>
      <x:c r="X60" s="14" t="str"/>
      <x:c r="Y60" s="14" t="str">
        <x:v>2026-08-13</x:v>
      </x:c>
    </x:row>
    <x:row r="61" ht="42" customHeight="1">
      <x:c r="A61" s="14" t="str">
        <x:v>RHY-060</x:v>
      </x:c>
      <x:c r="B61" s="14" t="str">
        <x:v>S06</x:v>
      </x:c>
      <x:c r="C61" s="14" t="str">
        <x:v>WATER</x:v>
      </x:c>
      <x:c r="D61" s="14" t="str">
        <x:v>수영장 여과·펌프·열교환</x:v>
      </x:c>
      <x:c r="E61" s="14" t="str">
        <x:v>한도아쿠아</x:v>
      </x:c>
      <x:c r="F61" s="14" t="str">
        <x:v>설비·유통</x:v>
      </x:c>
      <x:c r="G61" s="14" t="str">
        <x:v>여과기, 펌프, 열온수기, 열교환기</x:v>
      </x:c>
      <x:c r="H61" s="14" t="str">
        <x:v>https://handoaqua.com/board/bbs/board.php?bo_table=product2</x:v>
      </x:c>
      <x:c r="I61" s="14" t="str">
        <x:v>공식</x:v>
      </x:c>
      <x:c r="J61" s="14" t="str">
        <x:v>수영장 설비 장비 제품군</x:v>
      </x:c>
      <x:c r="K61" s="14" t="n">
        <x:v>92</x:v>
      </x:c>
      <x:c r="L61" s="14" t="n">
        <x:v>92</x:v>
      </x:c>
      <x:c r="M61" s="14" t="n">
        <x:v>95</x:v>
      </x:c>
      <x:c r="N61" s="14" t="n">
        <x:v>95</x:v>
      </x:c>
      <x:c r="O61" s="14" t="n">
        <x:v>88</x:v>
      </x:c>
      <x:c r="P61" s="14" t="n">
        <x:v>95</x:v>
      </x:c>
      <x:c r="Q61" s="14" t="n">
        <x:v>80</x:v>
      </x:c>
      <x:c r="R61" s="14" t="n">
        <x:f>ROUND(AVERAGE(K61:O61),0)</x:f>
        <x:v>92</x:v>
      </x:c>
      <x:c r="S61" s="14" t="n">
        <x:f>ROUND(P61*0.45+R61*0.35+Q61*0.20,0)</x:f>
        <x:v>91</x:v>
      </x:c>
      <x:c r="T61" s="14" t="str">
        <x:f>IF(AND(S61&gt;=82,R61&gt;=70,P61&gt;=85),"A",IF(S61&gt;=72,"B",IF(S61&gt;=62,"C","D")))</x:f>
        <x:v>A</x:v>
      </x:c>
      <x:c r="U61" s="14" t="str">
        <x:v>수영장 유지관리 부품/장비 공급 파트너</x:v>
      </x:c>
      <x:c r="V61" s="14" t="str">
        <x:v>1차 검증 완료</x:v>
      </x:c>
      <x:c r="W61" s="14" t="n">
        <x:v>5</x:v>
      </x:c>
      <x:c r="X61" s="14" t="str"/>
      <x:c r="Y61" s="14" t="str">
        <x:v>2026-08-13</x:v>
      </x:c>
    </x:row>
    <x:row r="62" ht="42" customHeight="1">
      <x:c r="A62" s="14" t="str">
        <x:v>RHY-061</x:v>
      </x:c>
      <x:c r="B62" s="14" t="str">
        <x:v>S06</x:v>
      </x:c>
      <x:c r="C62" s="14" t="str">
        <x:v>WATER,SMART</x:v>
      </x:c>
      <x:c r="D62" s="14" t="str">
        <x:v>스마트 수처리</x:v>
      </x:c>
      <x:c r="E62" s="14" t="str">
        <x:v>워터홀리데이</x:v>
      </x:c>
      <x:c r="F62" s="14" t="str">
        <x:v>시스템</x:v>
      </x:c>
      <x:c r="G62" s="14" t="str">
        <x:v>스마트폰 원격, 24시간 수질 자동관리</x:v>
      </x:c>
      <x:c r="H62" s="14" t="str">
        <x:v>https://waterholiday.kr/treatment</x:v>
      </x:c>
      <x:c r="I62" s="14" t="str">
        <x:v>공식</x:v>
      </x:c>
      <x:c r="J62" s="14" t="str">
        <x:v>스마트 수처리 시스템</x:v>
      </x:c>
      <x:c r="K62" s="14" t="n">
        <x:v>62</x:v>
      </x:c>
      <x:c r="L62" s="14" t="n">
        <x:v>62</x:v>
      </x:c>
      <x:c r="M62" s="14" t="n">
        <x:v>70</x:v>
      </x:c>
      <x:c r="N62" s="14" t="n">
        <x:v>72</x:v>
      </x:c>
      <x:c r="O62" s="14" t="n">
        <x:v>58</x:v>
      </x:c>
      <x:c r="P62" s="14" t="n">
        <x:v>92</x:v>
      </x:c>
      <x:c r="Q62" s="14" t="n">
        <x:v>78</x:v>
      </x:c>
      <x:c r="R62" s="14" t="n">
        <x:f>ROUND(AVERAGE(K62:O62),0)</x:f>
        <x:v>65</x:v>
      </x:c>
      <x:c r="S62" s="14" t="n">
        <x:f>ROUND(P62*0.45+R62*0.35+Q62*0.20,0)</x:f>
        <x:v>80</x:v>
      </x:c>
      <x:c r="T62" s="14" t="str">
        <x:f>IF(AND(S62&gt;=82,R62&gt;=70,P62&gt;=85),"A",IF(S62&gt;=72,"B",IF(S62&gt;=62,"C","D")))</x:f>
        <x:v>B</x:v>
      </x:c>
      <x:c r="U62" s="14" t="str">
        <x:v>스마트 풀관리 패키지 차별화 상품</x:v>
      </x:c>
      <x:c r="V62" s="14" t="str">
        <x:v>1차 검증 완료</x:v>
      </x:c>
      <x:c r="W62" s="14" t="n">
        <x:v>5</x:v>
      </x:c>
      <x:c r="X62" s="14" t="str"/>
      <x:c r="Y62" s="14" t="str">
        <x:v>2026-08-13</x:v>
      </x:c>
    </x:row>
    <x:row r="63" ht="42" customHeight="1">
      <x:c r="A63" s="14" t="str">
        <x:v>RHY-062</x:v>
      </x:c>
      <x:c r="B63" s="14" t="str">
        <x:v>S06</x:v>
      </x:c>
      <x:c r="C63" s="14" t="str">
        <x:v>WATER,OUTDOOR</x:v>
      </x:c>
      <x:c r="D63" s="14" t="str">
        <x:v>가정용 사우나캐빈</x:v>
      </x:c>
      <x:c r="E63" s="14" t="str">
        <x:v>사우나월드</x:v>
      </x:c>
      <x:c r="F63" s="14" t="str">
        <x:v>국내제작</x:v>
      </x:c>
      <x:c r="G63" s="14" t="str">
        <x:v>편백/적삼목 건식 사우나 캐빈</x:v>
      </x:c>
      <x:c r="H63" s="14" t="str">
        <x:v>https://www.saunaworld.co.kr/43</x:v>
      </x:c>
      <x:c r="I63" s="14" t="str">
        <x:v>공식</x:v>
      </x:c>
      <x:c r="J63" s="14" t="str">
        <x:v>국내 기술 제작·생산 명시</x:v>
      </x:c>
      <x:c r="K63" s="14" t="n">
        <x:v>82</x:v>
      </x:c>
      <x:c r="L63" s="14" t="n">
        <x:v>82</x:v>
      </x:c>
      <x:c r="M63" s="14" t="n">
        <x:v>88</x:v>
      </x:c>
      <x:c r="N63" s="14" t="n">
        <x:v>90</x:v>
      </x:c>
      <x:c r="O63" s="14" t="n">
        <x:v>78</x:v>
      </x:c>
      <x:c r="P63" s="14" t="n">
        <x:v>94</x:v>
      </x:c>
      <x:c r="Q63" s="14" t="n">
        <x:v>70</x:v>
      </x:c>
      <x:c r="R63" s="14" t="n">
        <x:f>ROUND(AVERAGE(K63:O63),0)</x:f>
        <x:v>84</x:v>
      </x:c>
      <x:c r="S63" s="14" t="n">
        <x:f>ROUND(P63*0.45+R63*0.35+Q63*0.20,0)</x:f>
        <x:v>86</x:v>
      </x:c>
      <x:c r="T63" s="14" t="str">
        <x:f>IF(AND(S63&gt;=82,R63&gt;=70,P63&gt;=85),"A",IF(S63&gt;=72,"B",IF(S63&gt;=62,"C","D")))</x:f>
        <x:v>A</x:v>
      </x:c>
      <x:c r="U63" s="14" t="str">
        <x:v>전원주택 웰니스 고마진 상품으로 우선 검토</x:v>
      </x:c>
      <x:c r="V63" s="14" t="str">
        <x:v>1차 검증 완료</x:v>
      </x:c>
      <x:c r="W63" s="14" t="n">
        <x:v>5</x:v>
      </x:c>
      <x:c r="X63" s="14" t="str"/>
      <x:c r="Y63" s="14" t="str">
        <x:v>2026-08-13</x:v>
      </x:c>
    </x:row>
    <x:row r="64" ht="42" customHeight="1">
      <x:c r="A64" s="14" t="str">
        <x:v>RHY-063</x:v>
      </x:c>
      <x:c r="B64" s="14" t="str">
        <x:v>S06</x:v>
      </x:c>
      <x:c r="C64" s="14" t="str">
        <x:v>WATER</x:v>
      </x:c>
      <x:c r="D64" s="14" t="str">
        <x:v>조립식 수영장</x:v>
      </x:c>
      <x:c r="E64" s="14" t="str">
        <x:v>한국자재산업(주)</x:v>
      </x:c>
      <x:c r="F64" s="14" t="str">
        <x:v>제작·자재</x:v>
      </x:c>
      <x:c r="G64" s="14" t="str">
        <x:v>조립식/단독 수영장 제작 사례</x:v>
      </x:c>
      <x:c r="H64" s="14" t="str">
        <x:v>https://www.youtube.com/watch?v=eGuh-b7j_X4</x:v>
      </x:c>
      <x:c r="I64" s="14" t="str">
        <x:v>영상/2차</x:v>
      </x:c>
      <x:c r="J64" s="14" t="str">
        <x:v>조립식 수영장 단독 제작 가능 소개</x:v>
      </x:c>
      <x:c r="K64" s="14" t="n">
        <x:v>92</x:v>
      </x:c>
      <x:c r="L64" s="14" t="n">
        <x:v>92</x:v>
      </x:c>
      <x:c r="M64" s="14" t="n">
        <x:v>95</x:v>
      </x:c>
      <x:c r="N64" s="14" t="n">
        <x:v>95</x:v>
      </x:c>
      <x:c r="O64" s="14" t="n">
        <x:v>88</x:v>
      </x:c>
      <x:c r="P64" s="14" t="n">
        <x:v>82</x:v>
      </x:c>
      <x:c r="Q64" s="14" t="n">
        <x:v>60</x:v>
      </x:c>
      <x:c r="R64" s="14" t="n">
        <x:f>ROUND(AVERAGE(K64:O64),0)</x:f>
        <x:v>92</x:v>
      </x:c>
      <x:c r="S64" s="14" t="n">
        <x:f>ROUND(P64*0.45+R64*0.35+Q64*0.20,0)</x:f>
        <x:v>81</x:v>
      </x:c>
      <x:c r="T64" s="14" t="str">
        <x:f>IF(AND(S64&gt;=82,R64&gt;=70,P64&gt;=85),"A",IF(S64&gt;=72,"B",IF(S64&gt;=62,"C","D")))</x:f>
        <x:v>B</x:v>
      </x:c>
      <x:c r="U64" s="14" t="str">
        <x:v>공식 제품/가격/공급조건 재검증 후 후보화</x:v>
      </x:c>
      <x:c r="V64" s="14" t="str">
        <x:v>공식사이트 재검증 필요</x:v>
      </x:c>
      <x:c r="W64" s="14" t="n">
        <x:v>2</x:v>
      </x:c>
      <x:c r="X64" s="14" t="str"/>
      <x:c r="Y64" s="14" t="str">
        <x:v>2026-08-13</x:v>
      </x:c>
    </x:row>
    <x:row r="65" ht="42" customHeight="1">
      <x:c r="A65" s="14" t="str">
        <x:v>RHY-064</x:v>
      </x:c>
      <x:c r="B65" s="14" t="str">
        <x:v>S07</x:v>
      </x:c>
      <x:c r="C65" s="14" t="str">
        <x:v>GARDEN,SMART</x:v>
      </x:c>
      <x:c r="D65" s="14" t="str">
        <x:v>자동관수·관수자재</x:v>
      </x:c>
      <x:c r="E65" s="14" t="str">
        <x:v>솔레노이드 / IRRIWA</x:v>
      </x:c>
      <x:c r="F65" s="14" t="str">
        <x:v>제작·유통</x:v>
      </x:c>
      <x:c r="G65" s="14" t="str">
        <x:v>자동관수 컨트롤러, 스프링클러, OEM 공급</x:v>
      </x:c>
      <x:c r="H65" s="14" t="str">
        <x:v>https://m.irriwa.com/product/zoom.html?product_no=133</x:v>
      </x:c>
      <x:c r="I65" s="14" t="str">
        <x:v>공식</x:v>
      </x:c>
      <x:c r="J65" s="14" t="str">
        <x:v>맞춤 자동관수 컨트롤러 제작·지역업체 공급</x:v>
      </x:c>
      <x:c r="K65" s="14" t="n">
        <x:v>82</x:v>
      </x:c>
      <x:c r="L65" s="14" t="n">
        <x:v>82</x:v>
      </x:c>
      <x:c r="M65" s="14" t="n">
        <x:v>88</x:v>
      </x:c>
      <x:c r="N65" s="14" t="n">
        <x:v>90</x:v>
      </x:c>
      <x:c r="O65" s="14" t="n">
        <x:v>78</x:v>
      </x:c>
      <x:c r="P65" s="14" t="n">
        <x:v>98</x:v>
      </x:c>
      <x:c r="Q65" s="14" t="n">
        <x:v>92</x:v>
      </x:c>
      <x:c r="R65" s="14" t="n">
        <x:f>ROUND(AVERAGE(K65:O65),0)</x:f>
        <x:v>84</x:v>
      </x:c>
      <x:c r="S65" s="14" t="n">
        <x:f>ROUND(P65*0.45+R65*0.35+Q65*0.20,0)</x:f>
        <x:v>92</x:v>
      </x:c>
      <x:c r="T65" s="14" t="str">
        <x:f>IF(AND(S65&gt;=82,R65&gt;=70,P65&gt;=85),"A",IF(S65&gt;=72,"B",IF(S65&gt;=62,"C","D")))</x:f>
        <x:v>A</x:v>
      </x:c>
      <x:c r="U65" s="14" t="str">
        <x:v>제품력+AEO공백 모두 큼. RHINORY 핵심 후보</x:v>
      </x:c>
      <x:c r="V65" s="14" t="str">
        <x:v>1차 검증 완료</x:v>
      </x:c>
      <x:c r="W65" s="14" t="n">
        <x:v>5</x:v>
      </x:c>
      <x:c r="X65" s="14" t="str"/>
      <x:c r="Y65" s="14" t="str">
        <x:v>2026-08-13</x:v>
      </x:c>
    </x:row>
    <x:row r="66" ht="42" customHeight="1">
      <x:c r="A66" s="14" t="str">
        <x:v>RHY-065</x:v>
      </x:c>
      <x:c r="B66" s="14" t="str">
        <x:v>S07</x:v>
      </x:c>
      <x:c r="C66" s="14" t="str">
        <x:v>GARDEN,SMART</x:v>
      </x:c>
      <x:c r="D66" s="14" t="str">
        <x:v>자동관수 시공</x:v>
      </x:c>
      <x:c r="E66" s="14" t="str">
        <x:v>ABC조경</x:v>
      </x:c>
      <x:c r="F66" s="14" t="str">
        <x:v>시공</x:v>
      </x:c>
      <x:c r="G66" s="14" t="str">
        <x:v>단독/전원주택 스마트관수, 보증 2년</x:v>
      </x:c>
      <x:c r="H66" s="14" t="str">
        <x:v>https://abcjogyeong.co.kr/pages/auto-irrigation.html</x:v>
      </x:c>
      <x:c r="I66" s="14" t="str">
        <x:v>공식</x:v>
      </x:c>
      <x:c r="J66" s="14" t="str">
        <x:v>주택용 자동관수 시공을 명확히 타깃</x:v>
      </x:c>
      <x:c r="K66" s="14" t="n">
        <x:v>38</x:v>
      </x:c>
      <x:c r="L66" s="14" t="n">
        <x:v>38</x:v>
      </x:c>
      <x:c r="M66" s="14" t="n">
        <x:v>45</x:v>
      </x:c>
      <x:c r="N66" s="14" t="n">
        <x:v>48</x:v>
      </x:c>
      <x:c r="O66" s="14" t="n">
        <x:v>35</x:v>
      </x:c>
      <x:c r="P66" s="14" t="n">
        <x:v>94</x:v>
      </x:c>
      <x:c r="Q66" s="14" t="n">
        <x:v>75</x:v>
      </x:c>
      <x:c r="R66" s="14" t="n">
        <x:f>ROUND(AVERAGE(K66:O66),0)</x:f>
        <x:v>41</x:v>
      </x:c>
      <x:c r="S66" s="14" t="n">
        <x:f>ROUND(P66*0.45+R66*0.35+Q66*0.20,0)</x:f>
        <x:v>72</x:v>
      </x:c>
      <x:c r="T66" s="14" t="str">
        <x:f>IF(AND(S66&gt;=82,R66&gt;=70,P66&gt;=85),"A",IF(S66&gt;=72,"B",IF(S66&gt;=62,"C","D")))</x:f>
        <x:v>B</x:v>
      </x:c>
      <x:c r="U66" s="14" t="str">
        <x:v>이미 AEO형 콘텐츠가 좋아 공급/시공 파트너 중심</x:v>
      </x:c>
      <x:c r="V66" s="14" t="str">
        <x:v>1차 검증 완료</x:v>
      </x:c>
      <x:c r="W66" s="14" t="n">
        <x:v>5</x:v>
      </x:c>
      <x:c r="X66" s="14" t="str"/>
      <x:c r="Y66" s="14" t="str">
        <x:v>2026-08-13</x:v>
      </x:c>
    </x:row>
    <x:row r="67" ht="42" customHeight="1">
      <x:c r="A67" s="14" t="str">
        <x:v>RHY-066</x:v>
      </x:c>
      <x:c r="B67" s="14" t="str">
        <x:v>S07</x:v>
      </x:c>
      <x:c r="C67" s="14" t="str">
        <x:v>GARDEN</x:v>
      </x:c>
      <x:c r="D67" s="14" t="str">
        <x:v>조경자재·관수·경계재</x:v>
      </x:c>
      <x:c r="E67" s="14" t="str">
        <x:v>가든24 / 자라는나무</x:v>
      </x:c>
      <x:c r="F67" s="14" t="str">
        <x:v>제작·유통</x:v>
      </x:c>
      <x:c r="G67" s="14" t="str">
        <x:v>조경자재 유통, 6개 품목 직접 제작/주문제작</x:v>
      </x:c>
      <x:c r="H67" s="14" t="str">
        <x:v>https://garden24.co.kr/shopinfo/company.html</x:v>
      </x:c>
      <x:c r="I67" s="14" t="str">
        <x:v>공식</x:v>
      </x:c>
      <x:c r="J67" s="14" t="str">
        <x:v>30년 조경 경력과 직접제작 품목</x:v>
      </x:c>
      <x:c r="K67" s="14" t="n">
        <x:v>38</x:v>
      </x:c>
      <x:c r="L67" s="14" t="n">
        <x:v>38</x:v>
      </x:c>
      <x:c r="M67" s="14" t="n">
        <x:v>45</x:v>
      </x:c>
      <x:c r="N67" s="14" t="n">
        <x:v>48</x:v>
      </x:c>
      <x:c r="O67" s="14" t="n">
        <x:v>35</x:v>
      </x:c>
      <x:c r="P67" s="14" t="n">
        <x:v>96</x:v>
      </x:c>
      <x:c r="Q67" s="14" t="n">
        <x:v>94</x:v>
      </x:c>
      <x:c r="R67" s="14" t="n">
        <x:f>ROUND(AVERAGE(K67:O67),0)</x:f>
        <x:v>41</x:v>
      </x:c>
      <x:c r="S67" s="14" t="n">
        <x:f>ROUND(P67*0.45+R67*0.35+Q67*0.20,0)</x:f>
        <x:v>76</x:v>
      </x:c>
      <x:c r="T67" s="14" t="str">
        <x:f>IF(AND(S67&gt;=82,R67&gt;=70,P67&gt;=85),"A",IF(S67&gt;=72,"B",IF(S67&gt;=62,"C","D")))</x:f>
        <x:v>B</x:v>
      </x:c>
      <x:c r="U67" s="14" t="str">
        <x:v>멀티 조경자재 공급 파트너, PB 개발도 검토</x:v>
      </x:c>
      <x:c r="V67" s="14" t="str">
        <x:v>1차 검증 완료</x:v>
      </x:c>
      <x:c r="W67" s="14" t="n">
        <x:v>5</x:v>
      </x:c>
      <x:c r="X67" s="14" t="str"/>
      <x:c r="Y67" s="14" t="str">
        <x:v>2026-08-13</x:v>
      </x:c>
    </x:row>
    <x:row r="68" ht="42" customHeight="1">
      <x:c r="A68" s="14" t="str">
        <x:v>RHY-067</x:v>
      </x:c>
      <x:c r="B68" s="14" t="str">
        <x:v>S07</x:v>
      </x:c>
      <x:c r="C68" s="14" t="str">
        <x:v>GARDEN</x:v>
      </x:c>
      <x:c r="D68" s="14" t="str">
        <x:v>조경·수목관리용품</x:v>
      </x:c>
      <x:c r="E68" s="14" t="str">
        <x:v>가든에이드</x:v>
      </x:c>
      <x:c r="F68" s="14" t="str">
        <x:v>전문유통</x:v>
      </x:c>
      <x:c r="G68" s="14" t="str">
        <x:v>정원관리·수목관리·조경자재</x:v>
      </x:c>
      <x:c r="H68" s="14" t="str">
        <x:v>https://www.gardenaid.co.kr/main/</x:v>
      </x:c>
      <x:c r="I68" s="14" t="str">
        <x:v>공식</x:v>
      </x:c>
      <x:c r="J68" s="14" t="str">
        <x:v>조경자재 전문몰</x:v>
      </x:c>
      <x:c r="K68" s="14" t="n">
        <x:v>62</x:v>
      </x:c>
      <x:c r="L68" s="14" t="n">
        <x:v>62</x:v>
      </x:c>
      <x:c r="M68" s="14" t="n">
        <x:v>70</x:v>
      </x:c>
      <x:c r="N68" s="14" t="n">
        <x:v>72</x:v>
      </x:c>
      <x:c r="O68" s="14" t="n">
        <x:v>58</x:v>
      </x:c>
      <x:c r="P68" s="14" t="n">
        <x:v>90</x:v>
      </x:c>
      <x:c r="Q68" s="14" t="n">
        <x:v>72</x:v>
      </x:c>
      <x:c r="R68" s="14" t="n">
        <x:f>ROUND(AVERAGE(K68:O68),0)</x:f>
        <x:v>65</x:v>
      </x:c>
      <x:c r="S68" s="14" t="n">
        <x:f>ROUND(P68*0.45+R68*0.35+Q68*0.20,0)</x:f>
        <x:v>78</x:v>
      </x:c>
      <x:c r="T68" s="14" t="str">
        <x:f>IF(AND(S68&gt;=82,R68&gt;=70,P68&gt;=85),"A",IF(S68&gt;=72,"B",IF(S68&gt;=62,"C","D")))</x:f>
        <x:v>B</x:v>
      </x:c>
      <x:c r="U68" s="14" t="str">
        <x:v>SHOP형 소모품/관리도구 공급처</x:v>
      </x:c>
      <x:c r="V68" s="14" t="str">
        <x:v>1차 검증 완료</x:v>
      </x:c>
      <x:c r="W68" s="14" t="n">
        <x:v>4</x:v>
      </x:c>
      <x:c r="X68" s="14" t="str"/>
      <x:c r="Y68" s="14" t="str">
        <x:v>2026-08-13</x:v>
      </x:c>
    </x:row>
    <x:row r="69" ht="42" customHeight="1">
      <x:c r="A69" s="14" t="str">
        <x:v>RHY-068</x:v>
      </x:c>
      <x:c r="B69" s="14" t="str">
        <x:v>S07,S10</x:v>
      </x:c>
      <x:c r="C69" s="14" t="str">
        <x:v>GARDEN,OUTDOOR</x:v>
      </x:c>
      <x:c r="D69" s="14" t="str">
        <x:v>인조잔디</x:v>
      </x:c>
      <x:c r="E69" s="14" t="str">
        <x:v>(주)SCM</x:v>
      </x:c>
      <x:c r="F69" s="14" t="str">
        <x:v>국내제조·시공</x:v>
      </x:c>
      <x:c r="G69" s="14" t="str">
        <x:v>주거/조경/반려동물/놀이터용 인조잔디</x:v>
      </x:c>
      <x:c r="H69" s="14" t="str">
        <x:v>https://scm950.com/</x:v>
      </x:c>
      <x:c r="I69" s="14" t="str">
        <x:v>공식</x:v>
      </x:c>
      <x:c r="J69" s="14" t="str">
        <x:v>국내 자체제조, 용도 다변화</x:v>
      </x:c>
      <x:c r="K69" s="14" t="n">
        <x:v>62</x:v>
      </x:c>
      <x:c r="L69" s="14" t="n">
        <x:v>62</x:v>
      </x:c>
      <x:c r="M69" s="14" t="n">
        <x:v>70</x:v>
      </x:c>
      <x:c r="N69" s="14" t="n">
        <x:v>72</x:v>
      </x:c>
      <x:c r="O69" s="14" t="n">
        <x:v>58</x:v>
      </x:c>
      <x:c r="P69" s="14" t="n">
        <x:v>97</x:v>
      </x:c>
      <x:c r="Q69" s="14" t="n">
        <x:v>94</x:v>
      </x:c>
      <x:c r="R69" s="14" t="n">
        <x:f>ROUND(AVERAGE(K69:O69),0)</x:f>
        <x:v>65</x:v>
      </x:c>
      <x:c r="S69" s="14" t="n">
        <x:f>ROUND(P69*0.45+R69*0.35+Q69*0.20,0)</x:f>
        <x:v>85</x:v>
      </x:c>
      <x:c r="T69" s="14" t="str">
        <x:f>IF(AND(S69&gt;=82,R69&gt;=70,P69&gt;=85),"A",IF(S69&gt;=72,"B",IF(S69&gt;=62,"C","D")))</x:f>
        <x:v>B</x:v>
      </x:c>
      <x:c r="U69" s="14" t="str">
        <x:v>잔디+펫+놀이터 교차판매 핵심 제조 후보</x:v>
      </x:c>
      <x:c r="V69" s="14" t="str">
        <x:v>1차 검증 완료</x:v>
      </x:c>
      <x:c r="W69" s="14" t="n">
        <x:v>5</x:v>
      </x:c>
      <x:c r="X69" s="14" t="str"/>
      <x:c r="Y69" s="14" t="str">
        <x:v>2026-08-13</x:v>
      </x:c>
    </x:row>
    <x:row r="70" ht="42" customHeight="1">
      <x:c r="A70" s="14" t="str">
        <x:v>RHY-069</x:v>
      </x:c>
      <x:c r="B70" s="14" t="str">
        <x:v>S07</x:v>
      </x:c>
      <x:c r="C70" s="14" t="str">
        <x:v>GARDEN</x:v>
      </x:c>
      <x:c r="D70" s="14" t="str">
        <x:v>천연잔디 시공·관리</x:v>
      </x:c>
      <x:c r="E70" s="14" t="str">
        <x:v>초록손조경건설</x:v>
      </x:c>
      <x:c r="F70" s="14" t="str">
        <x:v>시공·관리</x:v>
      </x:c>
      <x:c r="G70" s="14" t="str">
        <x:v>주택 잔디 시공, 사후관리</x:v>
      </x:c>
      <x:c r="H70" s="14" t="str">
        <x:v>https://greenhands.co.kr/services/lawn-care.html</x:v>
      </x:c>
      <x:c r="I70" s="14" t="str">
        <x:v>공식</x:v>
      </x:c>
      <x:c r="J70" s="14" t="str">
        <x:v>FAQ 포함, 주택 서비스 명확</x:v>
      </x:c>
      <x:c r="K70" s="14" t="n">
        <x:v>38</x:v>
      </x:c>
      <x:c r="L70" s="14" t="n">
        <x:v>38</x:v>
      </x:c>
      <x:c r="M70" s="14" t="n">
        <x:v>45</x:v>
      </x:c>
      <x:c r="N70" s="14" t="n">
        <x:v>48</x:v>
      </x:c>
      <x:c r="O70" s="14" t="n">
        <x:v>35</x:v>
      </x:c>
      <x:c r="P70" s="14" t="n">
        <x:v>91</x:v>
      </x:c>
      <x:c r="Q70" s="14" t="n">
        <x:v>64</x:v>
      </x:c>
      <x:c r="R70" s="14" t="n">
        <x:f>ROUND(AVERAGE(K70:O70),0)</x:f>
        <x:v>41</x:v>
      </x:c>
      <x:c r="S70" s="14" t="n">
        <x:f>ROUND(P70*0.45+R70*0.35+Q70*0.20,0)</x:f>
        <x:v>68</x:v>
      </x:c>
      <x:c r="T70" s="14" t="str">
        <x:f>IF(AND(S70&gt;=82,R70&gt;=70,P70&gt;=85),"A",IF(S70&gt;=72,"B",IF(S70&gt;=62,"C","D")))</x:f>
        <x:v>C</x:v>
      </x:c>
      <x:c r="U70" s="14" t="str">
        <x:v>지역 시공 리드 파트너로 활용</x:v>
      </x:c>
      <x:c r="V70" s="14" t="str">
        <x:v>1차 검증 완료</x:v>
      </x:c>
      <x:c r="W70" s="14" t="n">
        <x:v>5</x:v>
      </x:c>
      <x:c r="X70" s="14" t="str"/>
      <x:c r="Y70" s="14" t="str">
        <x:v>2026-08-13</x:v>
      </x:c>
    </x:row>
    <x:row r="71" ht="42" customHeight="1">
      <x:c r="A71" s="14" t="str">
        <x:v>RHY-070</x:v>
      </x:c>
      <x:c r="B71" s="14" t="str">
        <x:v>S07</x:v>
      </x:c>
      <x:c r="C71" s="14" t="str">
        <x:v>GARDEN</x:v>
      </x:c>
      <x:c r="D71" s="14" t="str">
        <x:v>관수자재</x:v>
      </x:c>
      <x:c r="E71" s="14" t="str">
        <x:v>상인농자재</x:v>
      </x:c>
      <x:c r="F71" s="14" t="str">
        <x:v>전문유통</x:v>
      </x:c>
      <x:c r="G71" s="14" t="str">
        <x:v>스프링클러, 자동관수자재, 자동화시스템</x:v>
      </x:c>
      <x:c r="H71" s="14" t="str">
        <x:v>https://xn--980b810am5e1c4f.com/goods/search?category1=00020008&amp;searchType=category</x:v>
      </x:c>
      <x:c r="I71" s="14" t="str">
        <x:v>공식</x:v>
      </x:c>
      <x:c r="J71" s="14" t="str">
        <x:v>자동관수 자재 전문 카테고리</x:v>
      </x:c>
      <x:c r="K71" s="14" t="n">
        <x:v>92</x:v>
      </x:c>
      <x:c r="L71" s="14" t="n">
        <x:v>92</x:v>
      </x:c>
      <x:c r="M71" s="14" t="n">
        <x:v>95</x:v>
      </x:c>
      <x:c r="N71" s="14" t="n">
        <x:v>95</x:v>
      </x:c>
      <x:c r="O71" s="14" t="n">
        <x:v>88</x:v>
      </x:c>
      <x:c r="P71" s="14" t="n">
        <x:v>90</x:v>
      </x:c>
      <x:c r="Q71" s="14" t="n">
        <x:v>72</x:v>
      </x:c>
      <x:c r="R71" s="14" t="n">
        <x:f>ROUND(AVERAGE(K71:O71),0)</x:f>
        <x:v>92</x:v>
      </x:c>
      <x:c r="S71" s="14" t="n">
        <x:f>ROUND(P71*0.45+R71*0.35+Q71*0.20,0)</x:f>
        <x:v>87</x:v>
      </x:c>
      <x:c r="T71" s="14" t="str">
        <x:f>IF(AND(S71&gt;=82,R71&gt;=70,P71&gt;=85),"A",IF(S71&gt;=72,"B",IF(S71&gt;=62,"C","D")))</x:f>
        <x:v>A</x:v>
      </x:c>
      <x:c r="U71" s="14" t="str">
        <x:v>저가/중가 관수자재 묶음 공급처</x:v>
      </x:c>
      <x:c r="V71" s="14" t="str">
        <x:v>1차 검증 완료</x:v>
      </x:c>
      <x:c r="W71" s="14" t="n">
        <x:v>4</x:v>
      </x:c>
      <x:c r="X71" s="14" t="str"/>
      <x:c r="Y71" s="14" t="str">
        <x:v>2026-08-13</x:v>
      </x:c>
    </x:row>
    <x:row r="72" ht="42" customHeight="1">
      <x:c r="A72" s="14" t="str">
        <x:v>RHY-071</x:v>
      </x:c>
      <x:c r="B72" s="14" t="str">
        <x:v>S07</x:v>
      </x:c>
      <x:c r="C72" s="14" t="str">
        <x:v>GARDEN,SMART</x:v>
      </x:c>
      <x:c r="D72" s="14" t="str">
        <x:v>무선 자동관수</x:v>
      </x:c>
      <x:c r="E72" s="14" t="str">
        <x:v>비반스 / 잇츠스마트팜</x:v>
      </x:c>
      <x:c r="F72" s="14" t="str">
        <x:v>기술·시스템</x:v>
      </x:c>
      <x:c r="G72" s="14" t="str">
        <x:v>노지형 무선자동관수 시스템</x:v>
      </x:c>
      <x:c r="H72" s="14" t="str">
        <x:v>https://www.vivans.net/news/?vid=103</x:v>
      </x:c>
      <x:c r="I72" s="14" t="str">
        <x:v>공식</x:v>
      </x:c>
      <x:c r="J72" s="14" t="str">
        <x:v>무선자동관수 특허 시스템 소개</x:v>
      </x:c>
      <x:c r="K72" s="14" t="n">
        <x:v>82</x:v>
      </x:c>
      <x:c r="L72" s="14" t="n">
        <x:v>82</x:v>
      </x:c>
      <x:c r="M72" s="14" t="n">
        <x:v>88</x:v>
      </x:c>
      <x:c r="N72" s="14" t="n">
        <x:v>90</x:v>
      </x:c>
      <x:c r="O72" s="14" t="n">
        <x:v>78</x:v>
      </x:c>
      <x:c r="P72" s="14" t="n">
        <x:v>89</x:v>
      </x:c>
      <x:c r="Q72" s="14" t="n">
        <x:v>75</x:v>
      </x:c>
      <x:c r="R72" s="14" t="n">
        <x:f>ROUND(AVERAGE(K72:O72),0)</x:f>
        <x:v>84</x:v>
      </x:c>
      <x:c r="S72" s="14" t="n">
        <x:f>ROUND(P72*0.45+R72*0.35+Q72*0.20,0)</x:f>
        <x:v>84</x:v>
      </x:c>
      <x:c r="T72" s="14" t="str">
        <x:f>IF(AND(S72&gt;=82,R72&gt;=70,P72&gt;=85),"A",IF(S72&gt;=72,"B",IF(S72&gt;=62,"C","D")))</x:f>
        <x:v>A</x:v>
      </x:c>
      <x:c r="U72" s="14" t="str">
        <x:v>전원주택 정원용 간소화 제품 가능성 문의</x:v>
      </x:c>
      <x:c r="V72" s="14" t="str">
        <x:v>1차 검증 완료</x:v>
      </x:c>
      <x:c r="W72" s="14" t="n">
        <x:v>4</x:v>
      </x:c>
      <x:c r="X72" s="14" t="str"/>
      <x:c r="Y72" s="14" t="str">
        <x:v>2026-08-13</x:v>
      </x:c>
    </x:row>
    <x:row r="73" ht="42" customHeight="1">
      <x:c r="A73" s="14" t="str">
        <x:v>RHY-072</x:v>
      </x:c>
      <x:c r="B73" s="14" t="str">
        <x:v>S07</x:v>
      </x:c>
      <x:c r="C73" s="14" t="str">
        <x:v>GARDEN</x:v>
      </x:c>
      <x:c r="D73" s="14" t="str">
        <x:v>정원수·정원자재</x:v>
      </x:c>
      <x:c r="E73" s="14" t="str">
        <x:v>순천만가든마켓</x:v>
      </x:c>
      <x:c r="F73" s="14" t="str">
        <x:v>유통·플랫폼</x:v>
      </x:c>
      <x:c r="G73" s="14" t="str">
        <x:v>정원수, 정원자재, 조명, 플랜트</x:v>
      </x:c>
      <x:c r="H73" s="14" t="str">
        <x:v>https://scgmarket.co.kr/</x:v>
      </x:c>
      <x:c r="I73" s="14" t="str">
        <x:v>공식</x:v>
      </x:c>
      <x:c r="J73" s="14" t="str">
        <x:v>정원용품/식물 폭넓은 카테고리</x:v>
      </x:c>
      <x:c r="K73" s="14" t="n">
        <x:v>62</x:v>
      </x:c>
      <x:c r="L73" s="14" t="n">
        <x:v>62</x:v>
      </x:c>
      <x:c r="M73" s="14" t="n">
        <x:v>70</x:v>
      </x:c>
      <x:c r="N73" s="14" t="n">
        <x:v>72</x:v>
      </x:c>
      <x:c r="O73" s="14" t="n">
        <x:v>58</x:v>
      </x:c>
      <x:c r="P73" s="14" t="n">
        <x:v>86</x:v>
      </x:c>
      <x:c r="Q73" s="14" t="n">
        <x:v>84</x:v>
      </x:c>
      <x:c r="R73" s="14" t="n">
        <x:f>ROUND(AVERAGE(K73:O73),0)</x:f>
        <x:v>65</x:v>
      </x:c>
      <x:c r="S73" s="14" t="n">
        <x:f>ROUND(P73*0.45+R73*0.35+Q73*0.20,0)</x:f>
        <x:v>78</x:v>
      </x:c>
      <x:c r="T73" s="14" t="str">
        <x:f>IF(AND(S73&gt;=82,R73&gt;=70,P73&gt;=85),"A",IF(S73&gt;=72,"B",IF(S73&gt;=62,"C","D")))</x:f>
        <x:v>B</x:v>
      </x:c>
      <x:c r="U73" s="14" t="str">
        <x:v>지역성 식물은 제한, 자재/소품 공급 제휴 검토</x:v>
      </x:c>
      <x:c r="V73" s="14" t="str">
        <x:v>1차 검증 완료</x:v>
      </x:c>
      <x:c r="W73" s="14" t="n">
        <x:v>4</x:v>
      </x:c>
      <x:c r="X73" s="14" t="str"/>
      <x:c r="Y73" s="14" t="str">
        <x:v>2026-08-13</x:v>
      </x:c>
    </x:row>
    <x:row r="74" ht="42" customHeight="1">
      <x:c r="A74" s="14" t="str">
        <x:v>RHY-073</x:v>
      </x:c>
      <x:c r="B74" s="14" t="str">
        <x:v>S08</x:v>
      </x:c>
      <x:c r="C74" s="14" t="str">
        <x:v>MAINTENANCE</x:v>
      </x:c>
      <x:c r="D74" s="14" t="str">
        <x:v>고압세척기</x:v>
      </x:c>
      <x:c r="E74" s="14" t="str">
        <x:v>라보코리아</x:v>
      </x:c>
      <x:c r="F74" s="14" t="str">
        <x:v>국내조립·유통</x:v>
      </x:c>
      <x:c r="G74" s="14" t="str">
        <x:v>가정용~산업용 고압세척기</x:v>
      </x:c>
      <x:c r="H74" s="14" t="str">
        <x:v>https://lavorkorea.co.kr/LAVORKOREA</x:v>
      </x:c>
      <x:c r="I74" s="14" t="str">
        <x:v>공식</x:v>
      </x:c>
      <x:c r="J74" s="14" t="str">
        <x:v>1991년부터 전문, 국내 조립/제조형 제품</x:v>
      </x:c>
      <x:c r="K74" s="14" t="n">
        <x:v>62</x:v>
      </x:c>
      <x:c r="L74" s="14" t="n">
        <x:v>62</x:v>
      </x:c>
      <x:c r="M74" s="14" t="n">
        <x:v>70</x:v>
      </x:c>
      <x:c r="N74" s="14" t="n">
        <x:v>72</x:v>
      </x:c>
      <x:c r="O74" s="14" t="n">
        <x:v>58</x:v>
      </x:c>
      <x:c r="P74" s="14" t="n">
        <x:v>94</x:v>
      </x:c>
      <x:c r="Q74" s="14" t="n">
        <x:v>70</x:v>
      </x:c>
      <x:c r="R74" s="14" t="n">
        <x:f>ROUND(AVERAGE(K74:O74),0)</x:f>
        <x:v>65</x:v>
      </x:c>
      <x:c r="S74" s="14" t="n">
        <x:f>ROUND(P74*0.45+R74*0.35+Q74*0.20,0)</x:f>
        <x:v>79</x:v>
      </x:c>
      <x:c r="T74" s="14" t="str">
        <x:f>IF(AND(S74&gt;=82,R74&gt;=70,P74&gt;=85),"A",IF(S74&gt;=72,"B",IF(S74&gt;=62,"C","D")))</x:f>
        <x:v>B</x:v>
      </x:c>
      <x:c r="U74" s="14" t="str">
        <x:v>전원주택 외벽/데크/바닥 관리 핵심 SKU</x:v>
      </x:c>
      <x:c r="V74" s="14" t="str">
        <x:v>1차 검증 완료</x:v>
      </x:c>
      <x:c r="W74" s="14" t="n">
        <x:v>5</x:v>
      </x:c>
      <x:c r="X74" s="14" t="str"/>
      <x:c r="Y74" s="14" t="str">
        <x:v>2026-08-13</x:v>
      </x:c>
    </x:row>
    <x:row r="75" ht="42" customHeight="1">
      <x:c r="A75" s="14" t="str">
        <x:v>RHY-074</x:v>
      </x:c>
      <x:c r="B75" s="14" t="str">
        <x:v>S08</x:v>
      </x:c>
      <x:c r="C75" s="14" t="str">
        <x:v>MAINTENANCE</x:v>
      </x:c>
      <x:c r="D75" s="14" t="str">
        <x:v>산업용 고압세척기</x:v>
      </x:c>
      <x:c r="E75" s="14" t="str">
        <x:v>성보하이드로엔지니어링</x:v>
      </x:c>
      <x:c r="F75" s="14" t="str">
        <x:v>직접설계·제작</x:v>
      </x:c>
      <x:c r="G75" s="14" t="str">
        <x:v>아쿠아젯 등 국내 설계/제작</x:v>
      </x:c>
      <x:c r="H75" s="14" t="str">
        <x:v>https://sungbohe.co.kr/html/dh_product/prod_view/182?PageNumber=1&amp;cate_no=1-10</x:v>
      </x:c>
      <x:c r="I75" s="14" t="str">
        <x:v>공식</x:v>
      </x:c>
      <x:c r="J75" s="14" t="str">
        <x:v>국내 직접 설계·제작 명시</x:v>
      </x:c>
      <x:c r="K75" s="14" t="n">
        <x:v>82</x:v>
      </x:c>
      <x:c r="L75" s="14" t="n">
        <x:v>82</x:v>
      </x:c>
      <x:c r="M75" s="14" t="n">
        <x:v>88</x:v>
      </x:c>
      <x:c r="N75" s="14" t="n">
        <x:v>90</x:v>
      </x:c>
      <x:c r="O75" s="14" t="n">
        <x:v>78</x:v>
      </x:c>
      <x:c r="P75" s="14" t="n">
        <x:v>97</x:v>
      </x:c>
      <x:c r="Q75" s="14" t="n">
        <x:v>72</x:v>
      </x:c>
      <x:c r="R75" s="14" t="n">
        <x:f>ROUND(AVERAGE(K75:O75),0)</x:f>
        <x:v>84</x:v>
      </x:c>
      <x:c r="S75" s="14" t="n">
        <x:f>ROUND(P75*0.45+R75*0.35+Q75*0.20,0)</x:f>
        <x:v>87</x:v>
      </x:c>
      <x:c r="T75" s="14" t="str">
        <x:f>IF(AND(S75&gt;=82,R75&gt;=70,P75&gt;=85),"A",IF(S75&gt;=72,"B",IF(S75&gt;=62,"C","D")))</x:f>
        <x:v>A</x:v>
      </x:c>
      <x:c r="U75" s="14" t="str">
        <x:v>제품력 강하고 AEO 공백 큼. 주택관리용 라인 다운셀 협의</x:v>
      </x:c>
      <x:c r="V75" s="14" t="str">
        <x:v>1차 검증 완료</x:v>
      </x:c>
      <x:c r="W75" s="14" t="n">
        <x:v>5</x:v>
      </x:c>
      <x:c r="X75" s="14" t="str"/>
      <x:c r="Y75" s="14" t="str">
        <x:v>2026-08-13</x:v>
      </x:c>
    </x:row>
    <x:row r="76" ht="42" customHeight="1">
      <x:c r="A76" s="14" t="str">
        <x:v>RHY-075</x:v>
      </x:c>
      <x:c r="B76" s="14" t="str">
        <x:v>S08</x:v>
      </x:c>
      <x:c r="C76" s="14" t="str">
        <x:v>MAINTENANCE</x:v>
      </x:c>
      <x:c r="D76" s="14" t="str">
        <x:v>고압세척기·스팀청소</x:v>
      </x:c>
      <x:c r="E76" s="14" t="str">
        <x:v>(주)한국고압세척기</x:v>
      </x:c>
      <x:c r="F76" s="14" t="str">
        <x:v>제조·B2B</x:v>
      </x:c>
      <x:c r="G76" s="14" t="str">
        <x:v>산업용 고압세척기와 증기청소기 제조</x:v>
      </x:c>
      <x:c r="H76" s="14" t="str">
        <x:v>https://app.rndcircle.io/company/2b947477-cbe1-5581-aa6a-649c3563dac7</x:v>
      </x:c>
      <x:c r="I76" s="14" t="str">
        <x:v>기업정보</x:v>
      </x:c>
      <x:c r="J76" s="14" t="str">
        <x:v>B2B 제조 중심 기업으로 소개</x:v>
      </x:c>
      <x:c r="K76" s="14" t="n">
        <x:v>92</x:v>
      </x:c>
      <x:c r="L76" s="14" t="n">
        <x:v>92</x:v>
      </x:c>
      <x:c r="M76" s="14" t="n">
        <x:v>95</x:v>
      </x:c>
      <x:c r="N76" s="14" t="n">
        <x:v>95</x:v>
      </x:c>
      <x:c r="O76" s="14" t="n">
        <x:v>88</x:v>
      </x:c>
      <x:c r="P76" s="14" t="n">
        <x:v>90</x:v>
      </x:c>
      <x:c r="Q76" s="14" t="n">
        <x:v>65</x:v>
      </x:c>
      <x:c r="R76" s="14" t="n">
        <x:f>ROUND(AVERAGE(K76:O76),0)</x:f>
        <x:v>92</x:v>
      </x:c>
      <x:c r="S76" s="14" t="n">
        <x:f>ROUND(P76*0.45+R76*0.35+Q76*0.20,0)</x:f>
        <x:v>86</x:v>
      </x:c>
      <x:c r="T76" s="14" t="str">
        <x:f>IF(AND(S76&gt;=82,R76&gt;=70,P76&gt;=85),"A",IF(S76&gt;=72,"B",IF(S76&gt;=62,"C","D")))</x:f>
        <x:v>A</x:v>
      </x:c>
      <x:c r="U76" s="14" t="str">
        <x:v>공식사이트/소형제품 확인 후 AEO형 유통 제안</x:v>
      </x:c>
      <x:c r="V76" s="14" t="str">
        <x:v>공식사이트 재검증 필요</x:v>
      </x:c>
      <x:c r="W76" s="14" t="n">
        <x:v>3</x:v>
      </x:c>
      <x:c r="X76" s="14" t="str"/>
      <x:c r="Y76" s="14" t="str">
        <x:v>2026-08-13</x:v>
      </x:c>
    </x:row>
    <x:row r="77" ht="42" customHeight="1">
      <x:c r="A77" s="14" t="str">
        <x:v>RHY-076</x:v>
      </x:c>
      <x:c r="B77" s="14" t="str">
        <x:v>S08</x:v>
      </x:c>
      <x:c r="C77" s="14" t="str">
        <x:v>MAINTENANCE</x:v>
      </x:c>
      <x:c r="D77" s="14" t="str">
        <x:v>고압세척기</x:v>
      </x:c>
      <x:c r="E77" s="14" t="str">
        <x:v>크린피아 / 한국크란즐</x:v>
      </x:c>
      <x:c r="F77" s="14" t="str">
        <x:v>공식수입·유통</x:v>
      </x:c>
      <x:c r="G77" s="14" t="str">
        <x:v>독일 Kranzle 가정/산업 세척 시스템</x:v>
      </x:c>
      <x:c r="H77" s="14" t="str">
        <x:v>https://clean.co.kr/company/history.html</x:v>
      </x:c>
      <x:c r="I77" s="14" t="str">
        <x:v>공식</x:v>
      </x:c>
      <x:c r="J77" s="14" t="str">
        <x:v>공식 수입사, 가정~산업 범위</x:v>
      </x:c>
      <x:c r="K77" s="14" t="n">
        <x:v>62</x:v>
      </x:c>
      <x:c r="L77" s="14" t="n">
        <x:v>62</x:v>
      </x:c>
      <x:c r="M77" s="14" t="n">
        <x:v>70</x:v>
      </x:c>
      <x:c r="N77" s="14" t="n">
        <x:v>72</x:v>
      </x:c>
      <x:c r="O77" s="14" t="n">
        <x:v>58</x:v>
      </x:c>
      <x:c r="P77" s="14" t="n">
        <x:v>90</x:v>
      </x:c>
      <x:c r="Q77" s="14" t="n">
        <x:v>70</x:v>
      </x:c>
      <x:c r="R77" s="14" t="n">
        <x:f>ROUND(AVERAGE(K77:O77),0)</x:f>
        <x:v>65</x:v>
      </x:c>
      <x:c r="S77" s="14" t="n">
        <x:f>ROUND(P77*0.45+R77*0.35+Q77*0.20,0)</x:f>
        <x:v>77</x:v>
      </x:c>
      <x:c r="T77" s="14" t="str">
        <x:f>IF(AND(S77&gt;=82,R77&gt;=70,P77&gt;=85),"A",IF(S77&gt;=72,"B",IF(S77&gt;=62,"C","D")))</x:f>
        <x:v>B</x:v>
      </x:c>
      <x:c r="U77" s="14" t="str">
        <x:v>프리미엄 주택관리 장비 공급처</x:v>
      </x:c>
      <x:c r="V77" s="14" t="str">
        <x:v>1차 검증 완료</x:v>
      </x:c>
      <x:c r="W77" s="14" t="n">
        <x:v>5</x:v>
      </x:c>
      <x:c r="X77" s="14" t="str"/>
      <x:c r="Y77" s="14" t="str">
        <x:v>2026-08-13</x:v>
      </x:c>
    </x:row>
    <x:row r="78" ht="42" customHeight="1">
      <x:c r="A78" s="14" t="str">
        <x:v>RHY-077</x:v>
      </x:c>
      <x:c r="B78" s="14" t="str">
        <x:v>S08</x:v>
      </x:c>
      <x:c r="C78" s="14" t="str">
        <x:v>MAINTENANCE</x:v>
      </x:c>
      <x:c r="D78" s="14" t="str">
        <x:v>고압세척기</x:v>
      </x:c>
      <x:c r="E78" s="14" t="str">
        <x:v>카처코리아</x:v>
      </x:c>
      <x:c r="F78" s="14" t="str">
        <x:v>수입·브랜드</x:v>
      </x:c>
      <x:c r="G78" s="14" t="str">
        <x:v>가정/산업용 고압세척</x:v>
      </x:c>
      <x:c r="H78" s="14" t="str">
        <x:v>https://karcher.co.kr/page?tpl=goods%2Fprofessional%2Fpressure-washers.html</x:v>
      </x:c>
      <x:c r="I78" s="14" t="str">
        <x:v>공식</x:v>
      </x:c>
      <x:c r="J78" s="14" t="str">
        <x:v>글로벌 브랜드, 제품 콘텐츠 풍부</x:v>
      </x:c>
      <x:c r="K78" s="14" t="n">
        <x:v>22</x:v>
      </x:c>
      <x:c r="L78" s="14" t="n">
        <x:v>25</x:v>
      </x:c>
      <x:c r="M78" s="14" t="n">
        <x:v>30</x:v>
      </x:c>
      <x:c r="N78" s="14" t="n">
        <x:v>32</x:v>
      </x:c>
      <x:c r="O78" s="14" t="n">
        <x:v>22</x:v>
      </x:c>
      <x:c r="P78" s="14" t="n">
        <x:v>88</x:v>
      </x:c>
      <x:c r="Q78" s="14" t="n">
        <x:v>78</x:v>
      </x:c>
      <x:c r="R78" s="14" t="n">
        <x:f>ROUND(AVERAGE(K78:O78),0)</x:f>
        <x:v>26</x:v>
      </x:c>
      <x:c r="S78" s="14" t="n">
        <x:f>ROUND(P78*0.45+R78*0.35+Q78*0.20,0)</x:f>
        <x:v>64</x:v>
      </x:c>
      <x:c r="T78" s="14" t="str">
        <x:f>IF(AND(S78&gt;=82,R78&gt;=70,P78&gt;=85),"A",IF(S78&gt;=72,"B",IF(S78&gt;=62,"C","D")))</x:f>
        <x:v>C</x:v>
      </x:c>
      <x:c r="U78" s="14" t="str">
        <x:v>벤치마크/브랜드 앵커. AEO 공백 타깃 아님</x:v>
      </x:c>
      <x:c r="V78" s="14" t="str">
        <x:v>1차 검증 완료</x:v>
      </x:c>
      <x:c r="W78" s="14" t="n">
        <x:v>5</x:v>
      </x:c>
      <x:c r="X78" s="14" t="str"/>
      <x:c r="Y78" s="14" t="str">
        <x:v>2026-08-13</x:v>
      </x:c>
    </x:row>
    <x:row r="79" ht="42" customHeight="1">
      <x:c r="A79" s="14" t="str">
        <x:v>RHY-078</x:v>
      </x:c>
      <x:c r="B79" s="14" t="str">
        <x:v>S09</x:v>
      </x:c>
      <x:c r="C79" s="14" t="str">
        <x:v>POWER</x:v>
      </x:c>
      <x:c r="D79" s="14" t="str">
        <x:v>태양광 인버터</x:v>
      </x:c>
      <x:c r="E79" s="14" t="str">
        <x:v>(주)다쓰테크</x:v>
      </x:c>
      <x:c r="F79" s="14" t="str">
        <x:v>제조·A/S</x:v>
      </x:c>
      <x:c r="G79" s="14" t="str">
        <x:v>국내 태양광 인버터 제조 및 A/S</x:v>
      </x:c>
      <x:c r="H79" s="14" t="str">
        <x:v>https://www.dasstech.com/kor/?kboard_content_redirect=907</x:v>
      </x:c>
      <x:c r="I79" s="14" t="str">
        <x:v>공식</x:v>
      </x:c>
      <x:c r="J79" s="14" t="str">
        <x:v>국내 인버터 제조, 모니터링/A/S센터 운영</x:v>
      </x:c>
      <x:c r="K79" s="14" t="n">
        <x:v>62</x:v>
      </x:c>
      <x:c r="L79" s="14" t="n">
        <x:v>62</x:v>
      </x:c>
      <x:c r="M79" s="14" t="n">
        <x:v>70</x:v>
      </x:c>
      <x:c r="N79" s="14" t="n">
        <x:v>72</x:v>
      </x:c>
      <x:c r="O79" s="14" t="n">
        <x:v>58</x:v>
      </x:c>
      <x:c r="P79" s="14" t="n">
        <x:v>95</x:v>
      </x:c>
      <x:c r="Q79" s="14" t="n">
        <x:v>78</x:v>
      </x:c>
      <x:c r="R79" s="14" t="n">
        <x:f>ROUND(AVERAGE(K79:O79),0)</x:f>
        <x:v>65</x:v>
      </x:c>
      <x:c r="S79" s="14" t="n">
        <x:f>ROUND(P79*0.45+R79*0.35+Q79*0.20,0)</x:f>
        <x:v>81</x:v>
      </x:c>
      <x:c r="T79" s="14" t="str">
        <x:f>IF(AND(S79&gt;=82,R79&gt;=70,P79&gt;=85),"A",IF(S79&gt;=72,"B",IF(S79&gt;=62,"C","D")))</x:f>
        <x:v>B</x:v>
      </x:c>
      <x:c r="U79" s="14" t="str">
        <x:v>주택 태양광 인버터/유지관리 콘텐츠 제휴</x:v>
      </x:c>
      <x:c r="V79" s="14" t="str">
        <x:v>1차 검증 완료</x:v>
      </x:c>
      <x:c r="W79" s="14" t="n">
        <x:v>5</x:v>
      </x:c>
      <x:c r="X79" s="14" t="str"/>
      <x:c r="Y79" s="14" t="str">
        <x:v>2026-08-13</x:v>
      </x:c>
    </x:row>
    <x:row r="80" ht="42" customHeight="1">
      <x:c r="A80" s="14" t="str">
        <x:v>RHY-079</x:v>
      </x:c>
      <x:c r="B80" s="14" t="str">
        <x:v>S09</x:v>
      </x:c>
      <x:c r="C80" s="14" t="str">
        <x:v>POWER</x:v>
      </x:c>
      <x:c r="D80" s="14" t="str">
        <x:v>태양광 인버터</x:v>
      </x:c>
      <x:c r="E80" s="14" t="str">
        <x:v>금비전자</x:v>
      </x:c>
      <x:c r="F80" s="14" t="str">
        <x:v>제조</x:v>
      </x:c>
      <x:c r="G80" s="14" t="str">
        <x:v>주택용 태양광 인버터 제품 유통 확인</x:v>
      </x:c>
      <x:c r="H80" s="14" t="str">
        <x:v>https://pvpcs.kr/</x:v>
      </x:c>
      <x:c r="I80" s="14" t="str">
        <x:v>전문 판매처</x:v>
      </x:c>
      <x:c r="J80" s="14" t="str">
        <x:v>KS인증 주택용 금비 인버터 판매 확인</x:v>
      </x:c>
      <x:c r="K80" s="14" t="n">
        <x:v>82</x:v>
      </x:c>
      <x:c r="L80" s="14" t="n">
        <x:v>82</x:v>
      </x:c>
      <x:c r="M80" s="14" t="n">
        <x:v>88</x:v>
      </x:c>
      <x:c r="N80" s="14" t="n">
        <x:v>90</x:v>
      </x:c>
      <x:c r="O80" s="14" t="n">
        <x:v>78</x:v>
      </x:c>
      <x:c r="P80" s="14" t="n">
        <x:v>88</x:v>
      </x:c>
      <x:c r="Q80" s="14" t="n">
        <x:v>60</x:v>
      </x:c>
      <x:c r="R80" s="14" t="n">
        <x:f>ROUND(AVERAGE(K80:O80),0)</x:f>
        <x:v>84</x:v>
      </x:c>
      <x:c r="S80" s="14" t="n">
        <x:f>ROUND(P80*0.45+R80*0.35+Q80*0.20,0)</x:f>
        <x:v>81</x:v>
      </x:c>
      <x:c r="T80" s="14" t="str">
        <x:f>IF(AND(S80&gt;=82,R80&gt;=70,P80&gt;=85),"A",IF(S80&gt;=72,"B",IF(S80&gt;=62,"C","D")))</x:f>
        <x:v>B</x:v>
      </x:c>
      <x:c r="U80" s="14" t="str">
        <x:v>제조사 공식채널/도매조건 재검증</x:v>
      </x:c>
      <x:c r="V80" s="14" t="str">
        <x:v>공식사이트 재검증 필요</x:v>
      </x:c>
      <x:c r="W80" s="14" t="n">
        <x:v>3</x:v>
      </x:c>
      <x:c r="X80" s="14" t="str"/>
      <x:c r="Y80" s="14" t="str">
        <x:v>2026-08-13</x:v>
      </x:c>
    </x:row>
    <x:row r="81" ht="42" customHeight="1">
      <x:c r="A81" s="14" t="str">
        <x:v>RHY-080</x:v>
      </x:c>
      <x:c r="B81" s="14" t="str">
        <x:v>S09</x:v>
      </x:c>
      <x:c r="C81" s="14" t="str">
        <x:v>POWER</x:v>
      </x:c>
      <x:c r="D81" s="14" t="str">
        <x:v>비상발전기</x:v>
      </x:c>
      <x:c r="E81" s="14" t="str">
        <x:v>썬테크</x:v>
      </x:c>
      <x:c r="F81" s="14" t="str">
        <x:v>제조</x:v>
      </x:c>
      <x:c r="G81" s="14" t="str">
        <x:v>디젤엔진 비상발전기</x:v>
      </x:c>
      <x:c r="H81" s="14" t="str">
        <x:v>https://www.youtube.com/watch?v=MWSuFPxxwCc</x:v>
      </x:c>
      <x:c r="I81" s="14" t="str">
        <x:v>IR/2차</x:v>
      </x:c>
      <x:c r="J81" s="14" t="str">
        <x:v>코넥스 IR에서 비상발전기 제조업 소개</x:v>
      </x:c>
      <x:c r="K81" s="14" t="n">
        <x:v>82</x:v>
      </x:c>
      <x:c r="L81" s="14" t="n">
        <x:v>82</x:v>
      </x:c>
      <x:c r="M81" s="14" t="n">
        <x:v>88</x:v>
      </x:c>
      <x:c r="N81" s="14" t="n">
        <x:v>90</x:v>
      </x:c>
      <x:c r="O81" s="14" t="n">
        <x:v>78</x:v>
      </x:c>
      <x:c r="P81" s="14" t="n">
        <x:v>91</x:v>
      </x:c>
      <x:c r="Q81" s="14" t="n">
        <x:v>62</x:v>
      </x:c>
      <x:c r="R81" s="14" t="n">
        <x:f>ROUND(AVERAGE(K81:O81),0)</x:f>
        <x:v>84</x:v>
      </x:c>
      <x:c r="S81" s="14" t="n">
        <x:f>ROUND(P81*0.45+R81*0.35+Q81*0.20,0)</x:f>
        <x:v>83</x:v>
      </x:c>
      <x:c r="T81" s="14" t="str">
        <x:f>IF(AND(S81&gt;=82,R81&gt;=70,P81&gt;=85),"A",IF(S81&gt;=72,"B",IF(S81&gt;=62,"C","D")))</x:f>
        <x:v>A</x:v>
      </x:c>
      <x:c r="U81" s="14" t="str">
        <x:v>가정/소형 상업용 모델 존재 여부 확인</x:v>
      </x:c>
      <x:c r="V81" s="14" t="str">
        <x:v>공식사이트 재검증 필요</x:v>
      </x:c>
      <x:c r="W81" s="14" t="n">
        <x:v>3</x:v>
      </x:c>
      <x:c r="X81" s="14" t="str"/>
      <x:c r="Y81" s="14" t="str">
        <x:v>2026-08-13</x:v>
      </x:c>
    </x:row>
    <x:row r="82" ht="42" customHeight="1">
      <x:c r="A82" s="14" t="str">
        <x:v>RHY-081</x:v>
      </x:c>
      <x:c r="B82" s="14" t="str">
        <x:v>S09</x:v>
      </x:c>
      <x:c r="C82" s="14" t="str">
        <x:v>POWER</x:v>
      </x:c>
      <x:c r="D82" s="14" t="str">
        <x:v>비상발전기</x:v>
      </x:c>
      <x:c r="E82" s="14" t="str">
        <x:v>이스트파워</x:v>
      </x:c>
      <x:c r="F82" s="14" t="str">
        <x:v>제조·설치</x:v>
      </x:c>
      <x:c r="G82" s="14" t="str">
        <x:v>비상발전기 제작/설치 및 스마트 발전기 기술</x:v>
      </x:c>
      <x:c r="H82" s="14" t="str">
        <x:v>https://www.keaj.kr/news/articleView.html?idxno=4757</x:v>
      </x:c>
      <x:c r="I82" s="14" t="str">
        <x:v>산업 기사</x:v>
      </x:c>
      <x:c r="J82" s="14" t="str">
        <x:v>발전기 제작/설치 및 특허 기술</x:v>
      </x:c>
      <x:c r="K82" s="14" t="n">
        <x:v>82</x:v>
      </x:c>
      <x:c r="L82" s="14" t="n">
        <x:v>82</x:v>
      </x:c>
      <x:c r="M82" s="14" t="n">
        <x:v>88</x:v>
      </x:c>
      <x:c r="N82" s="14" t="n">
        <x:v>90</x:v>
      </x:c>
      <x:c r="O82" s="14" t="n">
        <x:v>78</x:v>
      </x:c>
      <x:c r="P82" s="14" t="n">
        <x:v>94</x:v>
      </x:c>
      <x:c r="Q82" s="14" t="n">
        <x:v>66</x:v>
      </x:c>
      <x:c r="R82" s="14" t="n">
        <x:f>ROUND(AVERAGE(K82:O82),0)</x:f>
        <x:v>84</x:v>
      </x:c>
      <x:c r="S82" s="14" t="n">
        <x:f>ROUND(P82*0.45+R82*0.35+Q82*0.20,0)</x:f>
        <x:v>85</x:v>
      </x:c>
      <x:c r="T82" s="14" t="str">
        <x:f>IF(AND(S82&gt;=82,R82&gt;=70,P82&gt;=85),"A",IF(S82&gt;=72,"B",IF(S82&gt;=62,"C","D")))</x:f>
        <x:v>A</x:v>
      </x:c>
      <x:c r="U82" s="14" t="str">
        <x:v>전원주택 비상전원 소형화 가능성 문의</x:v>
      </x:c>
      <x:c r="V82" s="14" t="str">
        <x:v>공식사이트 재검증 필요</x:v>
      </x:c>
      <x:c r="W82" s="14" t="n">
        <x:v>3</x:v>
      </x:c>
      <x:c r="X82" s="14" t="str"/>
      <x:c r="Y82" s="14" t="str">
        <x:v>2026-08-13</x:v>
      </x:c>
    </x:row>
    <x:row r="83" ht="42" customHeight="1">
      <x:c r="A83" s="14" t="str">
        <x:v>RHY-082</x:v>
      </x:c>
      <x:c r="B83" s="14" t="str">
        <x:v>S09</x:v>
      </x:c>
      <x:c r="C83" s="14" t="str">
        <x:v>POWER</x:v>
      </x:c>
      <x:c r="D83" s="14" t="str">
        <x:v>비상발전기</x:v>
      </x:c>
      <x:c r="E83" s="14" t="str">
        <x:v>지엔씨에너지</x:v>
      </x:c>
      <x:c r="F83" s="14" t="str">
        <x:v>제조·엔지니어링</x:v>
      </x:c>
      <x:c r="G83" s="14" t="str">
        <x:v>비상/상용 발전기</x:v>
      </x:c>
      <x:c r="H83" s="14" t="str">
        <x:v>https://ssl.pstatic.net/imgstock/upload/research/company/1606963062223.pdf</x:v>
      </x:c>
      <x:c r="I83" s="14" t="str">
        <x:v>기업 리서치</x:v>
      </x:c>
      <x:c r="J83" s="14" t="str">
        <x:v>국내 비상발전기 시장 주요 기업</x:v>
      </x:c>
      <x:c r="K83" s="14" t="n">
        <x:v>38</x:v>
      </x:c>
      <x:c r="L83" s="14" t="n">
        <x:v>38</x:v>
      </x:c>
      <x:c r="M83" s="14" t="n">
        <x:v>45</x:v>
      </x:c>
      <x:c r="N83" s="14" t="n">
        <x:v>48</x:v>
      </x:c>
      <x:c r="O83" s="14" t="n">
        <x:v>35</x:v>
      </x:c>
      <x:c r="P83" s="14" t="n">
        <x:v>91</x:v>
      </x:c>
      <x:c r="Q83" s="14" t="n">
        <x:v>68</x:v>
      </x:c>
      <x:c r="R83" s="14" t="n">
        <x:f>ROUND(AVERAGE(K83:O83),0)</x:f>
        <x:v>41</x:v>
      </x:c>
      <x:c r="S83" s="14" t="n">
        <x:f>ROUND(P83*0.45+R83*0.35+Q83*0.20,0)</x:f>
        <x:v>69</x:v>
      </x:c>
      <x:c r="T83" s="14" t="str">
        <x:f>IF(AND(S83&gt;=82,R83&gt;=70,P83&gt;=85),"A",IF(S83&gt;=72,"B",IF(S83&gt;=62,"C","D")))</x:f>
        <x:v>C</x:v>
      </x:c>
      <x:c r="U83" s="14" t="str">
        <x:v>벤치마크/대형 프로젝트형. 우선접촉은 낮춤</x:v>
      </x:c>
      <x:c r="V83" s="14" t="str">
        <x:v>공식사이트 재검증 필요</x:v>
      </x:c>
      <x:c r="W83" s="14" t="n">
        <x:v>3</x:v>
      </x:c>
      <x:c r="X83" s="14" t="str"/>
      <x:c r="Y83" s="14" t="str">
        <x:v>2026-08-13</x:v>
      </x:c>
    </x:row>
    <x:row r="84" ht="42" customHeight="1">
      <x:c r="A84" s="14" t="str">
        <x:v>RHY-083</x:v>
      </x:c>
      <x:c r="B84" s="14" t="str">
        <x:v>S09</x:v>
      </x:c>
      <x:c r="C84" s="14" t="str">
        <x:v>POWER</x:v>
      </x:c>
      <x:c r="D84" s="14" t="str">
        <x:v>비상발전기</x:v>
      </x:c>
      <x:c r="E84" s="14" t="str">
        <x:v>대흥기전</x:v>
      </x:c>
      <x:c r="F84" s="14" t="str">
        <x:v>제조</x:v>
      </x:c>
      <x:c r="G84" s="14" t="str">
        <x:v>국내 비상발전기 시장 참여기업</x:v>
      </x:c>
      <x:c r="H84" s="14" t="str">
        <x:v>https://konex2013.homepage.whois.co.kr/</x:v>
      </x:c>
      <x:c r="I84" s="14" t="str">
        <x:v>시장 자료</x:v>
      </x:c>
      <x:c r="J84" s="14" t="str">
        <x:v>국내 비상발전기 시장 참여사로 언급</x:v>
      </x:c>
      <x:c r="K84" s="14" t="n">
        <x:v>92</x:v>
      </x:c>
      <x:c r="L84" s="14" t="n">
        <x:v>92</x:v>
      </x:c>
      <x:c r="M84" s="14" t="n">
        <x:v>95</x:v>
      </x:c>
      <x:c r="N84" s="14" t="n">
        <x:v>95</x:v>
      </x:c>
      <x:c r="O84" s="14" t="n">
        <x:v>88</x:v>
      </x:c>
      <x:c r="P84" s="14" t="n">
        <x:v>84</x:v>
      </x:c>
      <x:c r="Q84" s="14" t="n">
        <x:v>55</x:v>
      </x:c>
      <x:c r="R84" s="14" t="n">
        <x:f>ROUND(AVERAGE(K84:O84),0)</x:f>
        <x:v>92</x:v>
      </x:c>
      <x:c r="S84" s="14" t="n">
        <x:f>ROUND(P84*0.45+R84*0.35+Q84*0.20,0)</x:f>
        <x:v>81</x:v>
      </x:c>
      <x:c r="T84" s="14" t="str">
        <x:f>IF(AND(S84&gt;=82,R84&gt;=70,P84&gt;=85),"A",IF(S84&gt;=72,"B",IF(S84&gt;=62,"C","D")))</x:f>
        <x:v>B</x:v>
      </x:c>
      <x:c r="U84" s="14" t="str">
        <x:v>공식사이트/소형 제품군 먼저 재검증</x:v>
      </x:c>
      <x:c r="V84" s="14" t="str">
        <x:v>공식사이트 재검증 필요</x:v>
      </x:c>
      <x:c r="W84" s="14" t="n">
        <x:v>2</x:v>
      </x:c>
      <x:c r="X84" s="14" t="str"/>
      <x:c r="Y84" s="14" t="str">
        <x:v>2026-08-13</x:v>
      </x:c>
    </x:row>
    <x:row r="85" ht="42" customHeight="1">
      <x:c r="A85" s="14" t="str">
        <x:v>RHY-084</x:v>
      </x:c>
      <x:c r="B85" s="14" t="str">
        <x:v>S09</x:v>
      </x:c>
      <x:c r="C85" s="14" t="str">
        <x:v>POWER</x:v>
      </x:c>
      <x:c r="D85" s="14" t="str">
        <x:v>비상발전기</x:v>
      </x:c>
      <x:c r="E85" s="14" t="str">
        <x:v>세화이엔씨</x:v>
      </x:c>
      <x:c r="F85" s="14" t="str">
        <x:v>제조/설비</x:v>
      </x:c>
      <x:c r="G85" s="14" t="str">
        <x:v>국내 비상발전기 시장 참여기업</x:v>
      </x:c>
      <x:c r="H85" s="14" t="str">
        <x:v>https://konex2013.homepage.whois.co.kr/</x:v>
      </x:c>
      <x:c r="I85" s="14" t="str">
        <x:v>시장 자료</x:v>
      </x:c>
      <x:c r="J85" s="14" t="str">
        <x:v>국내 비상발전기 시장 참여사로 언급</x:v>
      </x:c>
      <x:c r="K85" s="14" t="n">
        <x:v>92</x:v>
      </x:c>
      <x:c r="L85" s="14" t="n">
        <x:v>92</x:v>
      </x:c>
      <x:c r="M85" s="14" t="n">
        <x:v>95</x:v>
      </x:c>
      <x:c r="N85" s="14" t="n">
        <x:v>95</x:v>
      </x:c>
      <x:c r="O85" s="14" t="n">
        <x:v>88</x:v>
      </x:c>
      <x:c r="P85" s="14" t="n">
        <x:v>82</x:v>
      </x:c>
      <x:c r="Q85" s="14" t="n">
        <x:v>55</x:v>
      </x:c>
      <x:c r="R85" s="14" t="n">
        <x:f>ROUND(AVERAGE(K85:O85),0)</x:f>
        <x:v>92</x:v>
      </x:c>
      <x:c r="S85" s="14" t="n">
        <x:f>ROUND(P85*0.45+R85*0.35+Q85*0.20,0)</x:f>
        <x:v>80</x:v>
      </x:c>
      <x:c r="T85" s="14" t="str">
        <x:f>IF(AND(S85&gt;=82,R85&gt;=70,P85&gt;=85),"A",IF(S85&gt;=72,"B",IF(S85&gt;=62,"C","D")))</x:f>
        <x:v>B</x:v>
      </x:c>
      <x:c r="U85" s="14" t="str">
        <x:v>공식사이트/주택 적용 가능성 재검증</x:v>
      </x:c>
      <x:c r="V85" s="14" t="str">
        <x:v>공식사이트 재검증 필요</x:v>
      </x:c>
      <x:c r="W85" s="14" t="n">
        <x:v>2</x:v>
      </x:c>
      <x:c r="X85" s="14" t="str"/>
      <x:c r="Y85" s="14" t="str">
        <x:v>2026-08-13</x:v>
      </x:c>
    </x:row>
    <x:row r="86" ht="42" customHeight="1">
      <x:c r="A86" s="14" t="str">
        <x:v>RHY-085</x:v>
      </x:c>
      <x:c r="B86" s="14" t="str">
        <x:v>S09</x:v>
      </x:c>
      <x:c r="C86" s="14" t="str">
        <x:v>POWER</x:v>
      </x:c>
      <x:c r="D86" s="14" t="str">
        <x:v>소형 풍력발전</x:v>
      </x:c>
      <x:c r="E86" s="14" t="str">
        <x:v>(주)미래테크</x:v>
      </x:c>
      <x:c r="F86" s="14" t="str">
        <x:v>제조</x:v>
      </x:c>
      <x:c r="G86" s="14" t="str">
        <x:v>소형 풍력발전기</x:v>
      </x:c>
      <x:c r="H86" s="14" t="str">
        <x:v>https://gonggam.korea.kr/newsContentView.es?mid=a12503000000&amp;news_id=EBC6D400EED64203E0540021F662AC5F&amp;section_id=</x:v>
      </x:c>
      <x:c r="I86" s="14" t="str">
        <x:v>정부 기사</x:v>
      </x:c>
      <x:c r="J86" s="14" t="str">
        <x:v>소형 풍력발전기 생산기업 소개</x:v>
      </x:c>
      <x:c r="K86" s="14" t="n">
        <x:v>92</x:v>
      </x:c>
      <x:c r="L86" s="14" t="n">
        <x:v>92</x:v>
      </x:c>
      <x:c r="M86" s="14" t="n">
        <x:v>95</x:v>
      </x:c>
      <x:c r="N86" s="14" t="n">
        <x:v>95</x:v>
      </x:c>
      <x:c r="O86" s="14" t="n">
        <x:v>88</x:v>
      </x:c>
      <x:c r="P86" s="14" t="n">
        <x:v>86</x:v>
      </x:c>
      <x:c r="Q86" s="14" t="n">
        <x:v>62</x:v>
      </x:c>
      <x:c r="R86" s="14" t="n">
        <x:f>ROUND(AVERAGE(K86:O86),0)</x:f>
        <x:v>92</x:v>
      </x:c>
      <x:c r="S86" s="14" t="n">
        <x:f>ROUND(P86*0.45+R86*0.35+Q86*0.20,0)</x:f>
        <x:v>83</x:v>
      </x:c>
      <x:c r="T86" s="14" t="str">
        <x:f>IF(AND(S86&gt;=82,R86&gt;=70,P86&gt;=85),"A",IF(S86&gt;=72,"B",IF(S86&gt;=62,"C","D")))</x:f>
        <x:v>A</x:v>
      </x:c>
      <x:c r="U86" s="14" t="str">
        <x:v>차별화 에너지 상품, 현재 사업 지속여부 우선 확인</x:v>
      </x:c>
      <x:c r="V86" s="14" t="str">
        <x:v>공식사이트 재검증 필요</x:v>
      </x:c>
      <x:c r="W86" s="14" t="n">
        <x:v>3</x:v>
      </x:c>
      <x:c r="X86" s="14" t="str"/>
      <x:c r="Y86" s="14" t="str">
        <x:v>2026-08-13</x:v>
      </x:c>
    </x:row>
    <x:row r="87" ht="42" customHeight="1">
      <x:c r="A87" s="14" t="str">
        <x:v>RHY-086</x:v>
      </x:c>
      <x:c r="B87" s="14" t="str">
        <x:v>S10</x:v>
      </x:c>
      <x:c r="C87" s="14" t="str">
        <x:v>OUTDOOR,BUILD</x:v>
      </x:c>
      <x:c r="D87" s="14" t="str">
        <x:v>반려동물 놀이터시설</x:v>
      </x:c>
      <x:c r="E87" s="14" t="str">
        <x:v>에코랜드</x:v>
      </x:c>
      <x:c r="F87" s="14" t="str">
        <x:v>제조·조경시설</x:v>
      </x:c>
      <x:c r="G87" s="14" t="str">
        <x:v>애견울타리, 반려동물 놀이터 시설물</x:v>
      </x:c>
      <x:c r="H87" s="14" t="str">
        <x:v>https://eco-land.kr/bbs/board.php?bo_table=P_facilities&amp;sca=%EB%B0%98%EB%A0%A4%EB%8F%99%EB%AC%BC%EB%86%80%EC%9D%B4%ED%84%B0</x:v>
      </x:c>
      <x:c r="I87" s="14" t="str">
        <x:v>공식</x:v>
      </x:c>
      <x:c r="J87" s="14" t="str">
        <x:v>반려동물 놀이터 제품 다수</x:v>
      </x:c>
      <x:c r="K87" s="14" t="n">
        <x:v>82</x:v>
      </x:c>
      <x:c r="L87" s="14" t="n">
        <x:v>82</x:v>
      </x:c>
      <x:c r="M87" s="14" t="n">
        <x:v>88</x:v>
      </x:c>
      <x:c r="N87" s="14" t="n">
        <x:v>90</x:v>
      </x:c>
      <x:c r="O87" s="14" t="n">
        <x:v>78</x:v>
      </x:c>
      <x:c r="P87" s="14" t="n">
        <x:v>94</x:v>
      </x:c>
      <x:c r="Q87" s="14" t="n">
        <x:v>82</x:v>
      </x:c>
      <x:c r="R87" s="14" t="n">
        <x:f>ROUND(AVERAGE(K87:O87),0)</x:f>
        <x:v>84</x:v>
      </x:c>
      <x:c r="S87" s="14" t="n">
        <x:f>ROUND(P87*0.45+R87*0.35+Q87*0.20,0)</x:f>
        <x:v>88</x:v>
      </x:c>
      <x:c r="T87" s="14" t="str">
        <x:f>IF(AND(S87&gt;=82,R87&gt;=70,P87&gt;=85),"A",IF(S87&gt;=72,"B",IF(S87&gt;=62,"C","D")))</x:f>
        <x:v>A</x:v>
      </x:c>
      <x:c r="U87" s="14" t="str">
        <x:v>전원주택용 미니 펫놀이터 패키지로 재구성</x:v>
      </x:c>
      <x:c r="V87" s="14" t="str">
        <x:v>1차 검증 완료</x:v>
      </x:c>
      <x:c r="W87" s="14" t="n">
        <x:v>5</x:v>
      </x:c>
      <x:c r="X87" s="14" t="str"/>
      <x:c r="Y87" s="14" t="str">
        <x:v>2026-08-13</x:v>
      </x:c>
    </x:row>
    <x:row r="88" ht="42" customHeight="1">
      <x:c r="A88" s="14" t="str">
        <x:v>RHY-087</x:v>
      </x:c>
      <x:c r="B88" s="14" t="str">
        <x:v>S10</x:v>
      </x:c>
      <x:c r="C88" s="14" t="str">
        <x:v>OUTDOOR,BUILD</x:v>
      </x:c>
      <x:c r="D88" s="14" t="str">
        <x:v>놀이터·분리수거장·휀스</x:v>
      </x:c>
      <x:c r="E88" s="14" t="str">
        <x:v>(주)미소조경</x:v>
      </x:c>
      <x:c r="F88" s="14" t="str">
        <x:v>제조·조경시설</x:v>
      </x:c>
      <x:c r="G88" s="14" t="str">
        <x:v>어린이놀이터, 조경시설, 휀스, 분리수거장</x:v>
      </x:c>
      <x:c r="H88" s="14" t="str">
        <x:v>https://www.smilemiso.net/board.php?cd=sisul06</x:v>
      </x:c>
      <x:c r="I88" s="14" t="str">
        <x:v>공식</x:v>
      </x:c>
      <x:c r="J88" s="14" t="str">
        <x:v>다품목 조경시설물</x:v>
      </x:c>
      <x:c r="K88" s="14" t="n">
        <x:v>92</x:v>
      </x:c>
      <x:c r="L88" s="14" t="n">
        <x:v>92</x:v>
      </x:c>
      <x:c r="M88" s="14" t="n">
        <x:v>95</x:v>
      </x:c>
      <x:c r="N88" s="14" t="n">
        <x:v>95</x:v>
      </x:c>
      <x:c r="O88" s="14" t="n">
        <x:v>88</x:v>
      </x:c>
      <x:c r="P88" s="14" t="n">
        <x:v>93</x:v>
      </x:c>
      <x:c r="Q88" s="14" t="n">
        <x:v>94</x:v>
      </x:c>
      <x:c r="R88" s="14" t="n">
        <x:f>ROUND(AVERAGE(K88:O88),0)</x:f>
        <x:v>92</x:v>
      </x:c>
      <x:c r="S88" s="14" t="n">
        <x:f>ROUND(P88*0.45+R88*0.35+Q88*0.20,0)</x:f>
        <x:v>93</x:v>
      </x:c>
      <x:c r="T88" s="14" t="str">
        <x:f>IF(AND(S88&gt;=82,R88&gt;=70,P88&gt;=85),"A",IF(S88&gt;=72,"B",IF(S88&gt;=62,"C","D")))</x:f>
        <x:v>A</x:v>
      </x:c>
      <x:c r="U88" s="14" t="str">
        <x:v>펫/키즈/편의시설 멀티 공급사 후보</x:v>
      </x:c>
      <x:c r="V88" s="14" t="str">
        <x:v>1차 검증 완료</x:v>
      </x:c>
      <x:c r="W88" s="14" t="n">
        <x:v>5</x:v>
      </x:c>
      <x:c r="X88" s="14" t="str"/>
      <x:c r="Y88" s="14" t="str">
        <x:v>2026-08-13</x:v>
      </x:c>
    </x:row>
    <x:row r="89" ht="42" customHeight="1">
      <x:c r="A89" s="14" t="str">
        <x:v>RHY-088</x:v>
      </x:c>
      <x:c r="B89" s="14" t="str">
        <x:v>S10</x:v>
      </x:c>
      <x:c r="C89" s="14" t="str">
        <x:v>OUTDOOR,BUILD</x:v>
      </x:c>
      <x:c r="D89" s="14" t="str">
        <x:v>어린이놀이시설</x:v>
      </x:c>
      <x:c r="E89" s="14" t="str">
        <x:v>한국조경건설</x:v>
      </x:c>
      <x:c r="F89" s="14" t="str">
        <x:v>설계·제작·설치</x:v>
      </x:c>
      <x:c r="G89" s="14" t="str">
        <x:v>놀이시설/친환경 조경시설</x:v>
      </x:c>
      <x:c r="H89" s="14" t="str">
        <x:v>https://www.hkland.co.kr/</x:v>
      </x:c>
      <x:c r="I89" s="14" t="str">
        <x:v>공식</x:v>
      </x:c>
      <x:c r="J89" s="14" t="str">
        <x:v>디자인부터 제작/설치까지</x:v>
      </x:c>
      <x:c r="K89" s="14" t="n">
        <x:v>82</x:v>
      </x:c>
      <x:c r="L89" s="14" t="n">
        <x:v>82</x:v>
      </x:c>
      <x:c r="M89" s="14" t="n">
        <x:v>88</x:v>
      </x:c>
      <x:c r="N89" s="14" t="n">
        <x:v>90</x:v>
      </x:c>
      <x:c r="O89" s="14" t="n">
        <x:v>78</x:v>
      </x:c>
      <x:c r="P89" s="14" t="n">
        <x:v>91</x:v>
      </x:c>
      <x:c r="Q89" s="14" t="n">
        <x:v>76</x:v>
      </x:c>
      <x:c r="R89" s="14" t="n">
        <x:f>ROUND(AVERAGE(K89:O89),0)</x:f>
        <x:v>84</x:v>
      </x:c>
      <x:c r="S89" s="14" t="n">
        <x:f>ROUND(P89*0.45+R89*0.35+Q89*0.20,0)</x:f>
        <x:v>86</x:v>
      </x:c>
      <x:c r="T89" s="14" t="str">
        <x:f>IF(AND(S89&gt;=82,R89&gt;=70,P89&gt;=85),"A",IF(S89&gt;=72,"B",IF(S89&gt;=62,"C","D")))</x:f>
        <x:v>A</x:v>
      </x:c>
      <x:c r="U89" s="14" t="str">
        <x:v>주택용 소형 놀이시설 라인 가능성 확인</x:v>
      </x:c>
      <x:c r="V89" s="14" t="str">
        <x:v>1차 검증 완료</x:v>
      </x:c>
      <x:c r="W89" s="14" t="n">
        <x:v>4</x:v>
      </x:c>
      <x:c r="X89" s="14" t="str"/>
      <x:c r="Y89" s="14" t="str">
        <x:v>2026-08-13</x:v>
      </x:c>
    </x:row>
    <x:row r="90" ht="42" customHeight="1">
      <x:c r="A90" s="14" t="str">
        <x:v>RHY-089</x:v>
      </x:c>
      <x:c r="B90" s="14" t="str">
        <x:v>S10</x:v>
      </x:c>
      <x:c r="C90" s="14" t="str">
        <x:v>OUTDOOR,BUILD</x:v>
      </x:c>
      <x:c r="D90" s="14" t="str">
        <x:v>어린이놀이·휴게시설</x:v>
      </x:c>
      <x:c r="E90" s="14" t="str">
        <x:v>(주)드림필</x:v>
      </x:c>
      <x:c r="F90" s="14" t="str">
        <x:v>제조·조경시설</x:v>
      </x:c>
      <x:c r="G90" s="14" t="str">
        <x:v>조합놀이대, 휴게/관리/운동시설</x:v>
      </x:c>
      <x:c r="H90" s="14" t="str">
        <x:v>https://www.dfland.co.kr/</x:v>
      </x:c>
      <x:c r="I90" s="14" t="str">
        <x:v>공식</x:v>
      </x:c>
      <x:c r="J90" s="14" t="str">
        <x:v>놀이터/조경시설 제품군</x:v>
      </x:c>
      <x:c r="K90" s="14" t="n">
        <x:v>82</x:v>
      </x:c>
      <x:c r="L90" s="14" t="n">
        <x:v>82</x:v>
      </x:c>
      <x:c r="M90" s="14" t="n">
        <x:v>88</x:v>
      </x:c>
      <x:c r="N90" s="14" t="n">
        <x:v>90</x:v>
      </x:c>
      <x:c r="O90" s="14" t="n">
        <x:v>78</x:v>
      </x:c>
      <x:c r="P90" s="14" t="n">
        <x:v>91</x:v>
      </x:c>
      <x:c r="Q90" s="14" t="n">
        <x:v>82</x:v>
      </x:c>
      <x:c r="R90" s="14" t="n">
        <x:f>ROUND(AVERAGE(K90:O90),0)</x:f>
        <x:v>84</x:v>
      </x:c>
      <x:c r="S90" s="14" t="n">
        <x:f>ROUND(P90*0.45+R90*0.35+Q90*0.20,0)</x:f>
        <x:v>87</x:v>
      </x:c>
      <x:c r="T90" s="14" t="str">
        <x:f>IF(AND(S90&gt;=82,R90&gt;=70,P90&gt;=85),"A",IF(S90&gt;=72,"B",IF(S90&gt;=62,"C","D")))</x:f>
        <x:v>A</x:v>
      </x:c>
      <x:c r="U90" s="14" t="str">
        <x:v>마당형 소형 놀이시설 상품화 가능성 문의</x:v>
      </x:c>
      <x:c r="V90" s="14" t="str">
        <x:v>1차 검증 완료</x:v>
      </x:c>
      <x:c r="W90" s="14" t="n">
        <x:v>5</x:v>
      </x:c>
      <x:c r="X90" s="14" t="str"/>
      <x:c r="Y90" s="14" t="str">
        <x:v>2026-08-13</x:v>
      </x:c>
    </x:row>
    <x:row r="91" ht="42" customHeight="1">
      <x:c r="A91" s="14" t="str">
        <x:v>RHY-090</x:v>
      </x:c>
      <x:c r="B91" s="14" t="str">
        <x:v>S10</x:v>
      </x:c>
      <x:c r="C91" s="14" t="str">
        <x:v>OUTDOOR,BUILD</x:v>
      </x:c>
      <x:c r="D91" s="14" t="str">
        <x:v>어린이놀이터·탄성포장</x:v>
      </x:c>
      <x:c r="E91" s="14" t="str">
        <x:v>펀스케이프</x:v>
      </x:c>
      <x:c r="F91" s="14" t="str">
        <x:v>설계·시공·공급</x:v>
      </x:c>
      <x:c r="G91" s="14" t="str">
        <x:v>놀이시설/체육시설/탄성포장</x:v>
      </x:c>
      <x:c r="H91" s="14" t="str">
        <x:v>https://www.funscape.co.kr/</x:v>
      </x:c>
      <x:c r="I91" s="14" t="str">
        <x:v>공식</x:v>
      </x:c>
      <x:c r="J91" s="14" t="str">
        <x:v>설계·제품·시공 역량</x:v>
      </x:c>
      <x:c r="K91" s="14" t="n">
        <x:v>62</x:v>
      </x:c>
      <x:c r="L91" s="14" t="n">
        <x:v>62</x:v>
      </x:c>
      <x:c r="M91" s="14" t="n">
        <x:v>70</x:v>
      </x:c>
      <x:c r="N91" s="14" t="n">
        <x:v>72</x:v>
      </x:c>
      <x:c r="O91" s="14" t="n">
        <x:v>58</x:v>
      </x:c>
      <x:c r="P91" s="14" t="n">
        <x:v>90</x:v>
      </x:c>
      <x:c r="Q91" s="14" t="n">
        <x:v>78</x:v>
      </x:c>
      <x:c r="R91" s="14" t="n">
        <x:f>ROUND(AVERAGE(K91:O91),0)</x:f>
        <x:v>65</x:v>
      </x:c>
      <x:c r="S91" s="14" t="n">
        <x:f>ROUND(P91*0.45+R91*0.35+Q91*0.20,0)</x:f>
        <x:v>79</x:v>
      </x:c>
      <x:c r="T91" s="14" t="str">
        <x:f>IF(AND(S91&gt;=82,R91&gt;=70,P91&gt;=85),"A",IF(S91&gt;=72,"B",IF(S91&gt;=62,"C","D")))</x:f>
        <x:v>B</x:v>
      </x:c>
      <x:c r="U91" s="14" t="str">
        <x:v>가정용보다는 타운하우스/펜션 B2B 확장 후보</x:v>
      </x:c>
      <x:c r="V91" s="14" t="str">
        <x:v>1차 검증 완료</x:v>
      </x:c>
      <x:c r="W91" s="14" t="n">
        <x:v>5</x:v>
      </x:c>
      <x:c r="X91" s="14" t="str"/>
      <x:c r="Y91" s="14" t="str">
        <x:v>2026-08-13</x:v>
      </x:c>
    </x:row>
    <x:row r="92" ht="42" customHeight="1">
      <x:c r="A92" s="14" t="str">
        <x:v>RHY-091</x:v>
      </x:c>
      <x:c r="B92" s="14" t="str">
        <x:v>S10</x:v>
      </x:c>
      <x:c r="C92" s="14" t="str">
        <x:v>OUTDOOR,BUILD</x:v>
      </x:c>
      <x:c r="D92" s="14" t="str">
        <x:v>인공암벽·놀이·모험시설</x:v>
      </x:c>
      <x:c r="E92" s="14" t="str">
        <x:v>클라임테크(주)</x:v>
      </x:c>
      <x:c r="F92" s="14" t="str">
        <x:v>개발·제작·시공</x:v>
      </x:c>
      <x:c r="G92" s="14" t="str">
        <x:v>어린이놀이/모험/조경시설</x:v>
      </x:c>
      <x:c r="H92" s="14" t="str">
        <x:v>https://climbtc.com/menu01-03/</x:v>
      </x:c>
      <x:c r="I92" s="14" t="str">
        <x:v>공식</x:v>
      </x:c>
      <x:c r="J92" s="14" t="str">
        <x:v>개발·설계·제작·시공 기업</x:v>
      </x:c>
      <x:c r="K92" s="14" t="n">
        <x:v>62</x:v>
      </x:c>
      <x:c r="L92" s="14" t="n">
        <x:v>62</x:v>
      </x:c>
      <x:c r="M92" s="14" t="n">
        <x:v>70</x:v>
      </x:c>
      <x:c r="N92" s="14" t="n">
        <x:v>72</x:v>
      </x:c>
      <x:c r="O92" s="14" t="n">
        <x:v>58</x:v>
      </x:c>
      <x:c r="P92" s="14" t="n">
        <x:v>88</x:v>
      </x:c>
      <x:c r="Q92" s="14" t="n">
        <x:v>80</x:v>
      </x:c>
      <x:c r="R92" s="14" t="n">
        <x:f>ROUND(AVERAGE(K92:O92),0)</x:f>
        <x:v>65</x:v>
      </x:c>
      <x:c r="S92" s="14" t="n">
        <x:f>ROUND(P92*0.45+R92*0.35+Q92*0.20,0)</x:f>
        <x:v>78</x:v>
      </x:c>
      <x:c r="T92" s="14" t="str">
        <x:f>IF(AND(S92&gt;=82,R92&gt;=70,P92&gt;=85),"A",IF(S92&gt;=72,"B",IF(S92&gt;=62,"C","D")))</x:f>
        <x:v>B</x:v>
      </x:c>
      <x:c r="U92" s="14" t="str">
        <x:v>프리미엄 키즈/모험 공간 B2B 후보</x:v>
      </x:c>
      <x:c r="V92" s="14" t="str">
        <x:v>1차 검증 완료</x:v>
      </x:c>
      <x:c r="W92" s="14" t="n">
        <x:v>5</x:v>
      </x:c>
      <x:c r="X92" s="14" t="str"/>
      <x:c r="Y92" s="14" t="str">
        <x:v>2026-08-13</x:v>
      </x:c>
    </x:row>
  </x:sheetData>
  <x:conditionalFormatting sqref="R2:R92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S2:S92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{72FB1CE5-DB36-6502-A2CF-AC93CCD08122}</x14:id>
        </x:ext>
      </x:extLst>
    </x:cfRule>
  </x:conditionalFormatting>
  <x:conditionalFormatting sqref="T2:T92">
    <x:cfRule type="expression" dxfId="0" priority="3">
      <x:formula>T2="A"</x:formula>
    </x:cfRule>
    <x:cfRule type="expression" dxfId="1" priority="4">
      <x:formula>T2="B"</x:formula>
    </x:cfRule>
    <x:cfRule type="expression" dxfId="2" priority="5">
      <x:formula>T2="C"</x:formula>
    </x:cfRule>
    <x:cfRule type="expression" dxfId="3" priority="6">
      <x:formula>T2="D"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6adc9979a7407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2FB1CE5-DB36-6502-A2CF-AC93CCD08122}">
            <x14:dataBar gradient="1">
              <x14:cfvo type="min"/>
              <x14:cfvo type="max"/>
              <x14:fillColor rgb="FFA02B93"/>
            </x14:dataBar>
          </x14:cfRule>
          <xm:sqref>S2:S92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22" hidden="0" customWidth="1"/>
    <x:col min="5" max="5" width="26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9" hidden="0" customWidth="1"/>
    <x:col min="11" max="11" width="44" hidden="0" customWidth="1"/>
    <x:col min="12" max="12" width="20" hidden="0" customWidth="1"/>
    <x:col min="13" max="13" width="42" hidden="0" customWidth="1"/>
  </x:cols>
  <x:sheetData>
    <x:row r="1">
      <x:c r="A1" s="28" t="str">
        <x:v>ID</x:v>
      </x:c>
      <x:c r="B1" s="28" t="str">
        <x:v>업체명</x:v>
      </x:c>
      <x:c r="C1" s="28" t="str">
        <x:v>소싱군</x:v>
      </x:c>
      <x:c r="D1" s="28" t="str">
        <x:v>카테고리</x:v>
      </x:c>
      <x:c r="E1" s="28" t="str">
        <x:v>상품</x:v>
      </x:c>
      <x:c r="F1" s="28" t="str">
        <x:v>Supplier Fit</x:v>
      </x:c>
      <x:c r="G1" s="28" t="str">
        <x:v>AEO GAP</x:v>
      </x:c>
      <x:c r="H1" s="28" t="str">
        <x:v>멀티카테고리</x:v>
      </x:c>
      <x:c r="I1" s="28" t="str">
        <x:v>전략점수</x:v>
      </x:c>
      <x:c r="J1" s="28" t="str">
        <x:v>등급</x:v>
      </x:c>
      <x:c r="K1" s="28" t="str">
        <x:v>추천 접근각도</x:v>
      </x:c>
      <x:c r="L1" s="28" t="str">
        <x:v>검증상태</x:v>
      </x:c>
      <x:c r="M1" s="28" t="str">
        <x:v>URL</x:v>
      </x:c>
    </x:row>
    <x:row r="2">
      <x:c r="A2" s="12" t="str">
        <x:v>RHY-006</x:v>
      </x:c>
      <x:c r="B2" s="12" t="str">
        <x:v>신한게이트</x:v>
      </x:c>
      <x:c r="C2" s="12" t="str">
        <x:v>S01</x:v>
      </x:c>
      <x:c r="D2" s="12" t="str">
        <x:v>GATE,BOUNDARY,PARKING</x:v>
      </x:c>
      <x:c r="E2" s="12" t="str">
        <x:v>대문·자동대문·차고문·휀스</x:v>
      </x:c>
      <x:c r="F2" s="12" t="n">
        <x:v>95</x:v>
      </x:c>
      <x:c r="G2" s="12" t="n">
        <x:v>92</x:v>
      </x:c>
      <x:c r="H2" s="12" t="n">
        <x:v>96</x:v>
      </x:c>
      <x:c r="I2" s="12" t="n">
        <x:v>94</x:v>
      </x:c>
      <x:c r="J2" s="12" t="str">
        <x:v>A</x:v>
      </x:c>
      <x:c r="K2" s="12" t="str">
        <x:v>최우선 멀티카테고리 파트너: 대문+차고문+휀스 묶음</x:v>
      </x:c>
      <x:c r="L2" s="12" t="str">
        <x:v>1차 검증 완료</x:v>
      </x:c>
      <x:c r="M2" s="12" t="str">
        <x:v>https://shgate.itpage.kr/</x:v>
      </x:c>
    </x:row>
    <x:row r="3">
      <x:c r="A3" s="12" t="str">
        <x:v>RHY-052</x:v>
      </x:c>
      <x:c r="B3" s="12" t="str">
        <x:v>티파니조경</x:v>
      </x:c>
      <x:c r="C3" s="12" t="str">
        <x:v>S05,S10,S03</x:v>
      </x:c>
      <x:c r="D3" s="12" t="str">
        <x:v>OUTDOOR,STORAGE,BUILD</x:v>
      </x:c>
      <x:c r="E3" s="12" t="str">
        <x:v>퍼걸러·벤치·분리수거장·울타리</x:v>
      </x:c>
      <x:c r="F3" s="12" t="n">
        <x:v>96</x:v>
      </x:c>
      <x:c r="G3" s="12" t="n">
        <x:v>84</x:v>
      </x:c>
      <x:c r="H3" s="12" t="n">
        <x:v>100</x:v>
      </x:c>
      <x:c r="I3" s="12" t="n">
        <x:v>93</x:v>
      </x:c>
      <x:c r="J3" s="12" t="str">
        <x:v>A</x:v>
      </x:c>
      <x:c r="K3" s="12" t="str">
        <x:v>최우선 멀티카테고리 제조/시공사 후보</x:v>
      </x:c>
      <x:c r="L3" s="12" t="str">
        <x:v>1차 검증 완료</x:v>
      </x:c>
      <x:c r="M3" s="12" t="str">
        <x:v>https://tfnland.co.kr/</x:v>
      </x:c>
    </x:row>
    <x:row r="4">
      <x:c r="A4" s="12" t="str">
        <x:v>RHY-087</x:v>
      </x:c>
      <x:c r="B4" s="12" t="str">
        <x:v>(주)미소조경</x:v>
      </x:c>
      <x:c r="C4" s="12" t="str">
        <x:v>S10</x:v>
      </x:c>
      <x:c r="D4" s="12" t="str">
        <x:v>OUTDOOR,BUILD</x:v>
      </x:c>
      <x:c r="E4" s="12" t="str">
        <x:v>놀이터·분리수거장·휀스</x:v>
      </x:c>
      <x:c r="F4" s="12" t="n">
        <x:v>93</x:v>
      </x:c>
      <x:c r="G4" s="12" t="n">
        <x:v>92</x:v>
      </x:c>
      <x:c r="H4" s="12" t="n">
        <x:v>94</x:v>
      </x:c>
      <x:c r="I4" s="12" t="n">
        <x:v>93</x:v>
      </x:c>
      <x:c r="J4" s="12" t="str">
        <x:v>A</x:v>
      </x:c>
      <x:c r="K4" s="12" t="str">
        <x:v>펫/키즈/편의시설 멀티 공급사 후보</x:v>
      </x:c>
      <x:c r="L4" s="12" t="str">
        <x:v>1차 검증 완료</x:v>
      </x:c>
      <x:c r="M4" s="12" t="str">
        <x:v>https://www.smilemiso.net/board.php?cd=sisul06</x:v>
      </x:c>
    </x:row>
    <x:row r="5">
      <x:c r="A5" s="12" t="str">
        <x:v>RHY-059</x:v>
      </x:c>
      <x:c r="B5" s="12" t="str">
        <x:v>수상(수상엔지니어링)</x:v>
      </x:c>
      <x:c r="C5" s="12" t="str">
        <x:v>S06</x:v>
      </x:c>
      <x:c r="D5" s="12" t="str">
        <x:v>WATER</x:v>
      </x:c>
      <x:c r="E5" s="12" t="str">
        <x:v>수영장·사우나·수처리</x:v>
      </x:c>
      <x:c r="F5" s="12" t="n">
        <x:v>96</x:v>
      </x:c>
      <x:c r="G5" s="12" t="n">
        <x:v>84</x:v>
      </x:c>
      <x:c r="H5" s="12" t="n">
        <x:v>96</x:v>
      </x:c>
      <x:c r="I5" s="12" t="n">
        <x:v>92</x:v>
      </x:c>
      <x:c r="J5" s="12" t="str">
        <x:v>A</x:v>
      </x:c>
      <x:c r="K5" s="12" t="str">
        <x:v>WATER/WELLNESS 통합 공급 최우선 후보</x:v>
      </x:c>
      <x:c r="L5" s="12" t="str">
        <x:v>1차 검증 완료</x:v>
      </x:c>
      <x:c r="M5" s="12" t="str">
        <x:v>https://susang.co.kr/pool-installation</x:v>
      </x:c>
    </x:row>
    <x:row r="6">
      <x:c r="A6" s="12" t="str">
        <x:v>RHY-064</x:v>
      </x:c>
      <x:c r="B6" s="12" t="str">
        <x:v>솔레노이드 / IRRIWA</x:v>
      </x:c>
      <x:c r="C6" s="12" t="str">
        <x:v>S07</x:v>
      </x:c>
      <x:c r="D6" s="12" t="str">
        <x:v>GARDEN,SMART</x:v>
      </x:c>
      <x:c r="E6" s="12" t="str">
        <x:v>자동관수·관수자재</x:v>
      </x:c>
      <x:c r="F6" s="12" t="n">
        <x:v>98</x:v>
      </x:c>
      <x:c r="G6" s="12" t="n">
        <x:v>84</x:v>
      </x:c>
      <x:c r="H6" s="12" t="n">
        <x:v>92</x:v>
      </x:c>
      <x:c r="I6" s="12" t="n">
        <x:v>92</x:v>
      </x:c>
      <x:c r="J6" s="12" t="str">
        <x:v>A</x:v>
      </x:c>
      <x:c r="K6" s="12" t="str">
        <x:v>제품력+AEO공백 모두 큼. RHINORY 핵심 후보</x:v>
      </x:c>
      <x:c r="L6" s="12" t="str">
        <x:v>1차 검증 완료</x:v>
      </x:c>
      <x:c r="M6" s="12" t="str">
        <x:v>https://m.irriwa.com/product/zoom.html?product_no=133</x:v>
      </x:c>
    </x:row>
    <x:row r="7">
      <x:c r="A7" s="12" t="str">
        <x:v>RHY-044</x:v>
      </x:c>
      <x:c r="B7" s="12" t="str">
        <x:v>(주)스마트합성데크</x:v>
      </x:c>
      <x:c r="C7" s="12" t="str">
        <x:v>S05</x:v>
      </x:c>
      <x:c r="D7" s="12" t="str">
        <x:v>OUTDOOR,BOUNDARY</x:v>
      </x:c>
      <x:c r="E7" s="12" t="str">
        <x:v>합성데크·휀스</x:v>
      </x:c>
      <x:c r="F7" s="12" t="n">
        <x:v>96</x:v>
      </x:c>
      <x:c r="G7" s="12" t="n">
        <x:v>84</x:v>
      </x:c>
      <x:c r="H7" s="12" t="n">
        <x:v>94</x:v>
      </x:c>
      <x:c r="I7" s="12" t="n">
        <x:v>91</x:v>
      </x:c>
      <x:c r="J7" s="12" t="str">
        <x:v>A</x:v>
      </x:c>
      <x:c r="K7" s="12" t="str">
        <x:v>AEO 공백 대비 제품력 강함: 최우선 제조 파트너 후보</x:v>
      </x:c>
      <x:c r="L7" s="12" t="str">
        <x:v>1차 검증 완료</x:v>
      </x:c>
      <x:c r="M7" s="12" t="str">
        <x:v>https://www.smartwpc.co.kr/page/sub1_1</x:v>
      </x:c>
    </x:row>
    <x:row r="8">
      <x:c r="A8" s="12" t="str">
        <x:v>RHY-048</x:v>
      </x:c>
      <x:c r="B8" s="12" t="str">
        <x:v>(주)S합성데크</x:v>
      </x:c>
      <x:c r="C8" s="12" t="str">
        <x:v>S05</x:v>
      </x:c>
      <x:c r="D8" s="12" t="str">
        <x:v>OUTDOOR</x:v>
      </x:c>
      <x:c r="E8" s="12" t="str">
        <x:v>합성데크·휀스</x:v>
      </x:c>
      <x:c r="F8" s="12" t="n">
        <x:v>92</x:v>
      </x:c>
      <x:c r="G8" s="12" t="n">
        <x:v>92</x:v>
      </x:c>
      <x:c r="H8" s="12" t="n">
        <x:v>86</x:v>
      </x:c>
      <x:c r="I8" s="12" t="n">
        <x:v>91</x:v>
      </x:c>
      <x:c r="J8" s="12" t="str">
        <x:v>A</x:v>
      </x:c>
      <x:c r="K8" s="12" t="str">
        <x:v>AEO 공백 큰 제조/시공사 후보</x:v>
      </x:c>
      <x:c r="L8" s="12" t="str">
        <x:v>1차 검증 완료</x:v>
      </x:c>
      <x:c r="M8" s="12" t="str">
        <x:v>https://sdeck.co.kr/default/02/01.php</x:v>
      </x:c>
    </x:row>
    <x:row r="9">
      <x:c r="A9" s="12" t="str">
        <x:v>RHY-054</x:v>
      </x:c>
      <x:c r="B9" s="12" t="str">
        <x:v>주식회사 큐</x:v>
      </x:c>
      <x:c r="C9" s="12" t="str">
        <x:v>S05,S10,S03</x:v>
      </x:c>
      <x:c r="D9" s="12" t="str">
        <x:v>OUTDOOR,BUILD</x:v>
      </x:c>
      <x:c r="E9" s="12" t="str">
        <x:v>퍼걸러·놀이·부스·컨테이너</x:v>
      </x:c>
      <x:c r="F9" s="12" t="n">
        <x:v>95</x:v>
      </x:c>
      <x:c r="G9" s="12" t="n">
        <x:v>84</x:v>
      </x:c>
      <x:c r="H9" s="12" t="n">
        <x:v>96</x:v>
      </x:c>
      <x:c r="I9" s="12" t="n">
        <x:v>91</x:v>
      </x:c>
      <x:c r="J9" s="12" t="str">
        <x:v>A</x:v>
      </x:c>
      <x:c r="K9" s="12" t="str">
        <x:v>RHINORY 여러 카테고리 일괄 공급 협상 후보</x:v>
      </x:c>
      <x:c r="L9" s="12" t="str">
        <x:v>1차 검증 완료</x:v>
      </x:c>
      <x:c r="M9" s="12" t="str">
        <x:v>https://q22.co.kr/</x:v>
      </x:c>
    </x:row>
    <x:row r="10">
      <x:c r="A10" s="12" t="str">
        <x:v>RHY-060</x:v>
      </x:c>
      <x:c r="B10" s="12" t="str">
        <x:v>한도아쿠아</x:v>
      </x:c>
      <x:c r="C10" s="12" t="str">
        <x:v>S06</x:v>
      </x:c>
      <x:c r="D10" s="12" t="str">
        <x:v>WATER</x:v>
      </x:c>
      <x:c r="E10" s="12" t="str">
        <x:v>수영장 여과·펌프·열교환</x:v>
      </x:c>
      <x:c r="F10" s="12" t="n">
        <x:v>95</x:v>
      </x:c>
      <x:c r="G10" s="12" t="n">
        <x:v>92</x:v>
      </x:c>
      <x:c r="H10" s="12" t="n">
        <x:v>80</x:v>
      </x:c>
      <x:c r="I10" s="12" t="n">
        <x:v>91</x:v>
      </x:c>
      <x:c r="J10" s="12" t="str">
        <x:v>A</x:v>
      </x:c>
      <x:c r="K10" s="12" t="str">
        <x:v>수영장 유지관리 부품/장비 공급 파트너</x:v>
      </x:c>
      <x:c r="L10" s="12" t="str">
        <x:v>1차 검증 완료</x:v>
      </x:c>
      <x:c r="M10" s="12" t="str">
        <x:v>https://handoaqua.com/board/bbs/board.php?bo_table=product2</x:v>
      </x:c>
    </x:row>
    <x:row r="11">
      <x:c r="A11" s="12" t="str">
        <x:v>RHY-047</x:v>
      </x:c>
      <x:c r="B11" s="12" t="str">
        <x:v>(주)유에스씨</x:v>
      </x:c>
      <x:c r="C11" s="12" t="str">
        <x:v>S05</x:v>
      </x:c>
      <x:c r="D11" s="12" t="str">
        <x:v>OUTDOOR,BUILD</x:v>
      </x:c>
      <x:c r="E11" s="12" t="str">
        <x:v>합성목재·데크·사이딩</x:v>
      </x:c>
      <x:c r="F11" s="12" t="n">
        <x:v>92</x:v>
      </x:c>
      <x:c r="G11" s="12" t="n">
        <x:v>84</x:v>
      </x:c>
      <x:c r="H11" s="12" t="n">
        <x:v>92</x:v>
      </x:c>
      <x:c r="I11" s="12" t="n">
        <x:v>89</x:v>
      </x:c>
      <x:c r="J11" s="12" t="str">
        <x:v>A</x:v>
      </x:c>
      <x:c r="K11" s="12" t="str">
        <x:v>데크+사이딩+난간 묶음 공급 파트너</x:v>
      </x:c>
      <x:c r="L11" s="12" t="str">
        <x:v>1차 검증 완료</x:v>
      </x:c>
      <x:c r="M11" s="12" t="str">
        <x:v>https://www.uscjk.co.kr/kr/sub1_4.php</x:v>
      </x:c>
    </x:row>
    <x:row r="12">
      <x:c r="A12" s="12" t="str">
        <x:v>RHY-041</x:v>
      </x:c>
      <x:c r="B12" s="12" t="str">
        <x:v>우성테크</x:v>
      </x:c>
      <x:c r="C12" s="12" t="str">
        <x:v>S05</x:v>
      </x:c>
      <x:c r="D12" s="12" t="str">
        <x:v>OUTDOOR</x:v>
      </x:c>
      <x:c r="E12" s="12" t="str">
        <x:v>어닝</x:v>
      </x:c>
      <x:c r="F12" s="12" t="n">
        <x:v>94</x:v>
      </x:c>
      <x:c r="G12" s="12" t="n">
        <x:v>92</x:v>
      </x:c>
      <x:c r="H12" s="12" t="n">
        <x:v>70</x:v>
      </x:c>
      <x:c r="I12" s="12" t="n">
        <x:v>88</x:v>
      </x:c>
      <x:c r="J12" s="12" t="str">
        <x:v>A</x:v>
      </x:c>
      <x:c r="K12" s="12" t="str">
        <x:v>AEO 공백 큰 전형적 제조사 후보: RHINORY가 콘텐츠/브랜드 프론트 제공</x:v>
      </x:c>
      <x:c r="L12" s="12" t="str">
        <x:v>공식사이트 재검증 필요</x:v>
      </x:c>
      <x:c r="M12" s="12" t="str">
        <x:v>http://www.ws-tech.co.kr/</x:v>
      </x:c>
    </x:row>
    <x:row r="13">
      <x:c r="A13" s="12" t="str">
        <x:v>RHY-056</x:v>
      </x:c>
      <x:c r="B13" s="12" t="str">
        <x:v>워터케이</x:v>
      </x:c>
      <x:c r="C13" s="12" t="str">
        <x:v>S06</x:v>
      </x:c>
      <x:c r="D13" s="12" t="str">
        <x:v>WATER</x:v>
      </x:c>
      <x:c r="E13" s="12" t="str">
        <x:v>수영장·수처리</x:v>
      </x:c>
      <x:c r="F13" s="12" t="n">
        <x:v>94</x:v>
      </x:c>
      <x:c r="G13" s="12" t="n">
        <x:v>84</x:v>
      </x:c>
      <x:c r="H13" s="12" t="n">
        <x:v>80</x:v>
      </x:c>
      <x:c r="I13" s="12" t="n">
        <x:v>88</x:v>
      </x:c>
      <x:c r="J13" s="12" t="str">
        <x:v>A</x:v>
      </x:c>
      <x:c r="K13" s="12" t="str">
        <x:v>전원주택 수영장 표준패키지/견적 리드 파트너</x:v>
      </x:c>
      <x:c r="L13" s="12" t="str">
        <x:v>1차 검증 완료</x:v>
      </x:c>
      <x:c r="M13" s="12" t="str">
        <x:v>https://waterk.co.kr/</x:v>
      </x:c>
    </x:row>
    <x:row r="14">
      <x:c r="A14" s="12" t="str">
        <x:v>RHY-086</x:v>
      </x:c>
      <x:c r="B14" s="12" t="str">
        <x:v>에코랜드</x:v>
      </x:c>
      <x:c r="C14" s="12" t="str">
        <x:v>S10</x:v>
      </x:c>
      <x:c r="D14" s="12" t="str">
        <x:v>OUTDOOR,BUILD</x:v>
      </x:c>
      <x:c r="E14" s="12" t="str">
        <x:v>반려동물 놀이터시설</x:v>
      </x:c>
      <x:c r="F14" s="12" t="n">
        <x:v>94</x:v>
      </x:c>
      <x:c r="G14" s="12" t="n">
        <x:v>84</x:v>
      </x:c>
      <x:c r="H14" s="12" t="n">
        <x:v>82</x:v>
      </x:c>
      <x:c r="I14" s="12" t="n">
        <x:v>88</x:v>
      </x:c>
      <x:c r="J14" s="12" t="str">
        <x:v>A</x:v>
      </x:c>
      <x:c r="K14" s="12" t="str">
        <x:v>전원주택용 미니 펫놀이터 패키지로 재구성</x:v>
      </x:c>
      <x:c r="L14" s="12" t="str">
        <x:v>1차 검증 완료</x:v>
      </x:c>
      <x:c r="M14" s="12" t="str">
        <x:v>https://eco-land.kr/bbs/board.php?bo_table=P_facilities&amp;sca=%EB%B0%98%EB%A0%A4%EB%8F%99%EB%AC%BC%EB%86%80%EC%9D%B4%ED%84%B0</x:v>
      </x:c>
    </x:row>
    <x:row r="15">
      <x:c r="A15" s="12" t="str">
        <x:v>RHY-027</x:v>
      </x:c>
      <x:c r="B15" s="12" t="str">
        <x:v>우성코리아</x:v>
      </x:c>
      <x:c r="C15" s="12" t="str">
        <x:v>S03</x:v>
      </x:c>
      <x:c r="D15" s="12" t="str">
        <x:v>STORAGE</x:v>
      </x:c>
      <x:c r="E15" s="12" t="str">
        <x:v>우편함·택배함</x:v>
      </x:c>
      <x:c r="F15" s="12" t="n">
        <x:v>90</x:v>
      </x:c>
      <x:c r="G15" s="12" t="n">
        <x:v>92</x:v>
      </x:c>
      <x:c r="H15" s="12" t="n">
        <x:v>70</x:v>
      </x:c>
      <x:c r="I15" s="12" t="n">
        <x:v>87</x:v>
      </x:c>
      <x:c r="J15" s="12" t="str">
        <x:v>A</x:v>
      </x:c>
      <x:c r="K15" s="12" t="str">
        <x:v>단독주택 디자인 우편함/택배함으로 시장 확장 제안</x:v>
      </x:c>
      <x:c r="L15" s="12" t="str">
        <x:v>공식사이트 재검증 필요</x:v>
      </x:c>
      <x:c r="M15" s="12" t="str">
        <x:v>https://www.aptville.com/companyitems/OFeigwUOCUp</x:v>
      </x:c>
    </x:row>
    <x:row r="16">
      <x:c r="A16" s="12" t="str">
        <x:v>RHY-043</x:v>
      </x:c>
      <x:c r="B16" s="12" t="str">
        <x:v>(주)주원창호</x:v>
      </x:c>
      <x:c r="C16" s="12" t="str">
        <x:v>S05</x:v>
      </x:c>
      <x:c r="D16" s="12" t="str">
        <x:v>OUTDOOR</x:v>
      </x:c>
      <x:c r="E16" s="12" t="str">
        <x:v>어닝 부속·차양</x:v>
      </x:c>
      <x:c r="F16" s="12" t="n">
        <x:v>95</x:v>
      </x:c>
      <x:c r="G16" s="12" t="n">
        <x:v>84</x:v>
      </x:c>
      <x:c r="H16" s="12" t="n">
        <x:v>74</x:v>
      </x:c>
      <x:c r="I16" s="12" t="n">
        <x:v>87</x:v>
      </x:c>
      <x:c r="J16" s="12" t="str">
        <x:v>A</x:v>
      </x:c>
      <x:c r="K16" s="12" t="str">
        <x:v>완제품/OEM 가능성 확인 가치 높음</x:v>
      </x:c>
      <x:c r="L16" s="12" t="str">
        <x:v>1차 검증 완료</x:v>
      </x:c>
      <x:c r="M16" s="12" t="str">
        <x:v>https://juwonchangho.com/sub/intro-01.php</x:v>
      </x:c>
    </x:row>
    <x:row r="17">
      <x:c r="A17" s="12" t="str">
        <x:v>RHY-045</x:v>
      </x:c>
      <x:c r="B17" s="12" t="str">
        <x:v>지티에스</x:v>
      </x:c>
      <x:c r="C17" s="12" t="str">
        <x:v>S05</x:v>
      </x:c>
      <x:c r="D17" s="12" t="str">
        <x:v>OUTDOOR</x:v>
      </x:c>
      <x:c r="E17" s="12" t="str">
        <x:v>합성목재·데크</x:v>
      </x:c>
      <x:c r="F17" s="12" t="n">
        <x:v>94</x:v>
      </x:c>
      <x:c r="G17" s="12" t="n">
        <x:v>84</x:v>
      </x:c>
      <x:c r="H17" s="12" t="n">
        <x:v>78</x:v>
      </x:c>
      <x:c r="I17" s="12" t="n">
        <x:v>87</x:v>
      </x:c>
      <x:c r="J17" s="12" t="str">
        <x:v>A</x:v>
      </x:c>
      <x:c r="K17" s="12" t="str">
        <x:v>데크재 공급가/OEM/전국 배송 조건 확인</x:v>
      </x:c>
      <x:c r="L17" s="12" t="str">
        <x:v>1차 검증 완료</x:v>
      </x:c>
      <x:c r="M17" s="12" t="str">
        <x:v>https://zts.kr/</x:v>
      </x:c>
    </x:row>
    <x:row r="18">
      <x:c r="A18" s="12" t="str">
        <x:v>RHY-070</x:v>
      </x:c>
      <x:c r="B18" s="12" t="str">
        <x:v>상인농자재</x:v>
      </x:c>
      <x:c r="C18" s="12" t="str">
        <x:v>S07</x:v>
      </x:c>
      <x:c r="D18" s="12" t="str">
        <x:v>GARDEN</x:v>
      </x:c>
      <x:c r="E18" s="12" t="str">
        <x:v>관수자재</x:v>
      </x:c>
      <x:c r="F18" s="12" t="n">
        <x:v>90</x:v>
      </x:c>
      <x:c r="G18" s="12" t="n">
        <x:v>92</x:v>
      </x:c>
      <x:c r="H18" s="12" t="n">
        <x:v>72</x:v>
      </x:c>
      <x:c r="I18" s="12" t="n">
        <x:v>87</x:v>
      </x:c>
      <x:c r="J18" s="12" t="str">
        <x:v>A</x:v>
      </x:c>
      <x:c r="K18" s="12" t="str">
        <x:v>저가/중가 관수자재 묶음 공급처</x:v>
      </x:c>
      <x:c r="L18" s="12" t="str">
        <x:v>1차 검증 완료</x:v>
      </x:c>
      <x:c r="M18" s="12" t="str">
        <x:v>https://xn--980b810am5e1c4f.com/goods/search?category1=00020008&amp;searchType=category</x:v>
      </x:c>
    </x:row>
    <x:row r="19">
      <x:c r="A19" s="12" t="str">
        <x:v>RHY-074</x:v>
      </x:c>
      <x:c r="B19" s="12" t="str">
        <x:v>성보하이드로엔지니어링</x:v>
      </x:c>
      <x:c r="C19" s="12" t="str">
        <x:v>S08</x:v>
      </x:c>
      <x:c r="D19" s="12" t="str">
        <x:v>MAINTENANCE</x:v>
      </x:c>
      <x:c r="E19" s="12" t="str">
        <x:v>산업용 고압세척기</x:v>
      </x:c>
      <x:c r="F19" s="12" t="n">
        <x:v>97</x:v>
      </x:c>
      <x:c r="G19" s="12" t="n">
        <x:v>84</x:v>
      </x:c>
      <x:c r="H19" s="12" t="n">
        <x:v>72</x:v>
      </x:c>
      <x:c r="I19" s="12" t="n">
        <x:v>87</x:v>
      </x:c>
      <x:c r="J19" s="12" t="str">
        <x:v>A</x:v>
      </x:c>
      <x:c r="K19" s="12" t="str">
        <x:v>제품력 강하고 AEO 공백 큼. 주택관리용 라인 다운셀 협의</x:v>
      </x:c>
      <x:c r="L19" s="12" t="str">
        <x:v>1차 검증 완료</x:v>
      </x:c>
      <x:c r="M19" s="12" t="str">
        <x:v>https://sungbohe.co.kr/html/dh_product/prod_view/182?PageNumber=1&amp;cate_no=1-10</x:v>
      </x:c>
    </x:row>
    <x:row r="20">
      <x:c r="A20" s="12" t="str">
        <x:v>RHY-089</x:v>
      </x:c>
      <x:c r="B20" s="12" t="str">
        <x:v>(주)드림필</x:v>
      </x:c>
      <x:c r="C20" s="12" t="str">
        <x:v>S10</x:v>
      </x:c>
      <x:c r="D20" s="12" t="str">
        <x:v>OUTDOOR,BUILD</x:v>
      </x:c>
      <x:c r="E20" s="12" t="str">
        <x:v>어린이놀이·휴게시설</x:v>
      </x:c>
      <x:c r="F20" s="12" t="n">
        <x:v>91</x:v>
      </x:c>
      <x:c r="G20" s="12" t="n">
        <x:v>84</x:v>
      </x:c>
      <x:c r="H20" s="12" t="n">
        <x:v>82</x:v>
      </x:c>
      <x:c r="I20" s="12" t="n">
        <x:v>87</x:v>
      </x:c>
      <x:c r="J20" s="12" t="str">
        <x:v>A</x:v>
      </x:c>
      <x:c r="K20" s="12" t="str">
        <x:v>마당형 소형 놀이시설 상품화 가능성 문의</x:v>
      </x:c>
      <x:c r="L20" s="12" t="str">
        <x:v>1차 검증 완료</x:v>
      </x:c>
      <x:c r="M20" s="12" t="str">
        <x:v>https://www.dfland.co.kr/</x:v>
      </x:c>
    </x:row>
    <x:row r="21">
      <x:c r="A21" s="12" t="str">
        <x:v>RHY-003</x:v>
      </x:c>
      <x:c r="B21" s="12" t="str">
        <x:v>세움휀스개발</x:v>
      </x:c>
      <x:c r="C21" s="12" t="str">
        <x:v>S01</x:v>
      </x:c>
      <x:c r="D21" s="12" t="str">
        <x:v>BOUNDARY,GATE</x:v>
      </x:c>
      <x:c r="E21" s="12" t="str">
        <x:v>휀스 자재·시공</x:v>
      </x:c>
      <x:c r="F21" s="12" t="n">
        <x:v>91</x:v>
      </x:c>
      <x:c r="G21" s="12" t="n">
        <x:v>84</x:v>
      </x:c>
      <x:c r="H21" s="12" t="n">
        <x:v>76</x:v>
      </x:c>
      <x:c r="I21" s="12" t="n">
        <x:v>86</x:v>
      </x:c>
      <x:c r="J21" s="12" t="str">
        <x:v>A</x:v>
      </x:c>
      <x:c r="K21" s="12" t="str">
        <x:v>B2B 시공업체를 B2C 전원주택 리드로 연결</x:v>
      </x:c>
      <x:c r="L21" s="12" t="str">
        <x:v>1차 검증 완료</x:v>
      </x:c>
      <x:c r="M21" s="12" t="str">
        <x:v>https://www.seumfence.co.kr/</x:v>
      </x:c>
    </x:row>
    <x:row r="22">
      <x:c r="A22" s="12" t="str">
        <x:v>RHY-009</x:v>
      </x:c>
      <x:c r="B22" s="12" t="str">
        <x:v>세우메쉬</x:v>
      </x:c>
      <x:c r="C22" s="12" t="str">
        <x:v>S01</x:v>
      </x:c>
      <x:c r="D22" s="12" t="str">
        <x:v>BOUNDARY,GATE</x:v>
      </x:c>
      <x:c r="E22" s="12" t="str">
        <x:v>디자인휀스·대문</x:v>
      </x:c>
      <x:c r="F22" s="12" t="n">
        <x:v>87</x:v>
      </x:c>
      <x:c r="G22" s="12" t="n">
        <x:v>92</x:v>
      </x:c>
      <x:c r="H22" s="12" t="n">
        <x:v>74</x:v>
      </x:c>
      <x:c r="I22" s="12" t="n">
        <x:v>86</x:v>
      </x:c>
      <x:c r="J22" s="12" t="str">
        <x:v>A</x:v>
      </x:c>
      <x:c r="K22" s="12" t="str">
        <x:v>낡은 제품 페이지를 RHINORY에서 소비자 친화적으로 재가공</x:v>
      </x:c>
      <x:c r="L22" s="12" t="str">
        <x:v>1차 검증 완료</x:v>
      </x:c>
      <x:c r="M22" s="12" t="str">
        <x:v>https://www.seawoomesh.co.kr/gnuboard4/bbs/board.php?bo_table=product11&amp;wr_id=2</x:v>
      </x:c>
    </x:row>
    <x:row r="23">
      <x:c r="A23" s="12" t="str">
        <x:v>RHY-010</x:v>
      </x:c>
      <x:c r="B23" s="12" t="str">
        <x:v>의정부휀스울타리</x:v>
      </x:c>
      <x:c r="C23" s="12" t="str">
        <x:v>S01</x:v>
      </x:c>
      <x:c r="D23" s="12" t="str">
        <x:v>BOUNDARY</x:v>
      </x:c>
      <x:c r="E23" s="12" t="str">
        <x:v>메쉬·디자인목재휀스</x:v>
      </x:c>
      <x:c r="F23" s="12" t="n">
        <x:v>85</x:v>
      </x:c>
      <x:c r="G23" s="12" t="n">
        <x:v>92</x:v>
      </x:c>
      <x:c r="H23" s="12" t="n">
        <x:v>76</x:v>
      </x:c>
      <x:c r="I23" s="12" t="n">
        <x:v>86</x:v>
      </x:c>
      <x:c r="J23" s="12" t="str">
        <x:v>A</x:v>
      </x:c>
      <x:c r="K23" s="12" t="str">
        <x:v>지역 시공사 네트워크 후보 + 표준 견적 콘텐츠</x:v>
      </x:c>
      <x:c r="L23" s="12" t="str">
        <x:v>1차 검증 완료</x:v>
      </x:c>
      <x:c r="M23" s="12" t="str">
        <x:v>https://ilsin04.co.kr/base/fence/ujbfence/01.php?com_board_category_code=c1</x:v>
      </x:c>
    </x:row>
    <x:row r="24">
      <x:c r="A24" s="12" t="str">
        <x:v>RHY-026</x:v>
      </x:c>
      <x:c r="B24" s="12" t="str">
        <x:v>아이포스트</x:v>
      </x:c>
      <x:c r="C24" s="12" t="str">
        <x:v>S03</x:v>
      </x:c>
      <x:c r="D24" s="12" t="str">
        <x:v>STORAGE</x:v>
      </x:c>
      <x:c r="E24" s="12" t="str">
        <x:v>우편함·택배보관함</x:v>
      </x:c>
      <x:c r="F24" s="12" t="n">
        <x:v>94</x:v>
      </x:c>
      <x:c r="G24" s="12" t="n">
        <x:v>84</x:v>
      </x:c>
      <x:c r="H24" s="12" t="n">
        <x:v>72</x:v>
      </x:c>
      <x:c r="I24" s="12" t="n">
        <x:v>86</x:v>
      </x:c>
      <x:c r="J24" s="12" t="str">
        <x:v>A</x:v>
      </x:c>
      <x:c r="K24" s="12" t="str">
        <x:v>RHINORY 전용 디자인 택배함/OEM 가능성 최우선 확인</x:v>
      </x:c>
      <x:c r="L24" s="12" t="str">
        <x:v>1차 검증 완료</x:v>
      </x:c>
      <x:c r="M24" s="12" t="str">
        <x:v>https://ipostehwa.co.kr/POSTBOX03</x:v>
      </x:c>
    </x:row>
    <x:row r="25">
      <x:c r="A25" s="12" t="str">
        <x:v>RHY-032</x:v>
      </x:c>
      <x:c r="B25" s="12" t="str">
        <x:v>베스트디지탈</x:v>
      </x:c>
      <x:c r="C25" s="12" t="str">
        <x:v>S04</x:v>
      </x:c>
      <x:c r="D25" s="12" t="str">
        <x:v>SECURITY</x:v>
      </x:c>
      <x:c r="E25" s="12" t="str">
        <x:v>CCTV·NVR</x:v>
      </x:c>
      <x:c r="F25" s="12" t="n">
        <x:v>94</x:v>
      </x:c>
      <x:c r="G25" s="12" t="n">
        <x:v>84</x:v>
      </x:c>
      <x:c r="H25" s="12" t="n">
        <x:v>72</x:v>
      </x:c>
      <x:c r="I25" s="12" t="n">
        <x:v>86</x:v>
      </x:c>
      <x:c r="J25" s="12" t="str">
        <x:v>A</x:v>
      </x:c>
      <x:c r="K25" s="12" t="str">
        <x:v>주택용 CCTV 패키지 + 소비자 설명 콘텐츠 공동화</x:v>
      </x:c>
      <x:c r="L25" s="12" t="str">
        <x:v>1차 검증 완료</x:v>
      </x:c>
      <x:c r="M25" s="12" t="str">
        <x:v>https://www.bdvr.co.kr/kor/com01.php</x:v>
      </x:c>
    </x:row>
    <x:row r="26">
      <x:c r="A26" s="12" t="str">
        <x:v>RHY-062</x:v>
      </x:c>
      <x:c r="B26" s="12" t="str">
        <x:v>사우나월드</x:v>
      </x:c>
      <x:c r="C26" s="12" t="str">
        <x:v>S06</x:v>
      </x:c>
      <x:c r="D26" s="12" t="str">
        <x:v>WATER,OUTDOOR</x:v>
      </x:c>
      <x:c r="E26" s="12" t="str">
        <x:v>가정용 사우나캐빈</x:v>
      </x:c>
      <x:c r="F26" s="12" t="n">
        <x:v>94</x:v>
      </x:c>
      <x:c r="G26" s="12" t="n">
        <x:v>84</x:v>
      </x:c>
      <x:c r="H26" s="12" t="n">
        <x:v>70</x:v>
      </x:c>
      <x:c r="I26" s="12" t="n">
        <x:v>86</x:v>
      </x:c>
      <x:c r="J26" s="12" t="str">
        <x:v>A</x:v>
      </x:c>
      <x:c r="K26" s="12" t="str">
        <x:v>전원주택 웰니스 고마진 상품으로 우선 검토</x:v>
      </x:c>
      <x:c r="L26" s="12" t="str">
        <x:v>1차 검증 완료</x:v>
      </x:c>
      <x:c r="M26" s="12" t="str">
        <x:v>https://www.saunaworld.co.kr/43</x:v>
      </x:c>
    </x:row>
    <x:row r="27">
      <x:c r="A27" s="12" t="str">
        <x:v>RHY-075</x:v>
      </x:c>
      <x:c r="B27" s="12" t="str">
        <x:v>(주)한국고압세척기</x:v>
      </x:c>
      <x:c r="C27" s="12" t="str">
        <x:v>S08</x:v>
      </x:c>
      <x:c r="D27" s="12" t="str">
        <x:v>MAINTENANCE</x:v>
      </x:c>
      <x:c r="E27" s="12" t="str">
        <x:v>고압세척기·스팀청소</x:v>
      </x:c>
      <x:c r="F27" s="12" t="n">
        <x:v>90</x:v>
      </x:c>
      <x:c r="G27" s="12" t="n">
        <x:v>92</x:v>
      </x:c>
      <x:c r="H27" s="12" t="n">
        <x:v>65</x:v>
      </x:c>
      <x:c r="I27" s="12" t="n">
        <x:v>86</x:v>
      </x:c>
      <x:c r="J27" s="12" t="str">
        <x:v>A</x:v>
      </x:c>
      <x:c r="K27" s="12" t="str">
        <x:v>공식사이트/소형제품 확인 후 AEO형 유통 제안</x:v>
      </x:c>
      <x:c r="L27" s="12" t="str">
        <x:v>공식사이트 재검증 필요</x:v>
      </x:c>
      <x:c r="M27" s="12" t="str">
        <x:v>https://app.rndcircle.io/company/2b947477-cbe1-5581-aa6a-649c3563dac7</x:v>
      </x:c>
    </x:row>
    <x:row r="28">
      <x:c r="A28" s="12" t="str">
        <x:v>RHY-088</x:v>
      </x:c>
      <x:c r="B28" s="12" t="str">
        <x:v>한국조경건설</x:v>
      </x:c>
      <x:c r="C28" s="12" t="str">
        <x:v>S10</x:v>
      </x:c>
      <x:c r="D28" s="12" t="str">
        <x:v>OUTDOOR,BUILD</x:v>
      </x:c>
      <x:c r="E28" s="12" t="str">
        <x:v>어린이놀이시설</x:v>
      </x:c>
      <x:c r="F28" s="12" t="n">
        <x:v>91</x:v>
      </x:c>
      <x:c r="G28" s="12" t="n">
        <x:v>84</x:v>
      </x:c>
      <x:c r="H28" s="12" t="n">
        <x:v>76</x:v>
      </x:c>
      <x:c r="I28" s="12" t="n">
        <x:v>86</x:v>
      </x:c>
      <x:c r="J28" s="12" t="str">
        <x:v>A</x:v>
      </x:c>
      <x:c r="K28" s="12" t="str">
        <x:v>주택용 소형 놀이시설 라인 가능성 확인</x:v>
      </x:c>
      <x:c r="L28" s="12" t="str">
        <x:v>1차 검증 완료</x:v>
      </x:c>
      <x:c r="M28" s="12" t="str">
        <x:v>https://www.hkland.co.kr/</x:v>
      </x:c>
    </x:row>
    <x:row r="29">
      <x:c r="A29" s="12" t="str">
        <x:v>RHY-005</x:v>
      </x:c>
      <x:c r="B29" s="12" t="str">
        <x:v>아라게이트</x:v>
      </x:c>
      <x:c r="C29" s="12" t="str">
        <x:v>S01</x:v>
      </x:c>
      <x:c r="D29" s="12" t="str">
        <x:v>GATE</x:v>
      </x:c>
      <x:c r="E29" s="12" t="str">
        <x:v>자동대문·프리미엄대문</x:v>
      </x:c>
      <x:c r="F29" s="12" t="n">
        <x:v>94</x:v>
      </x:c>
      <x:c r="G29" s="12" t="n">
        <x:v>84</x:v>
      </x:c>
      <x:c r="H29" s="12" t="n">
        <x:v>68</x:v>
      </x:c>
      <x:c r="I29" s="12" t="n">
        <x:v>85</x:v>
      </x:c>
      <x:c r="J29" s="12" t="str">
        <x:v>A</x:v>
      </x:c>
      <x:c r="K29" s="12" t="str">
        <x:v>자동대문 가격·옵션을 표준화해 RHINORY 견적리드 공급</x:v>
      </x:c>
      <x:c r="L29" s="12" t="str">
        <x:v>1차 검증 완료</x:v>
      </x:c>
      <x:c r="M29" s="12" t="str">
        <x:v>https://xn--vk1b2p40pcxn.com/</x:v>
      </x:c>
    </x:row>
    <x:row r="30">
      <x:c r="A30" s="12" t="str">
        <x:v>RHY-081</x:v>
      </x:c>
      <x:c r="B30" s="12" t="str">
        <x:v>이스트파워</x:v>
      </x:c>
      <x:c r="C30" s="12" t="str">
        <x:v>S09</x:v>
      </x:c>
      <x:c r="D30" s="12" t="str">
        <x:v>POWER</x:v>
      </x:c>
      <x:c r="E30" s="12" t="str">
        <x:v>비상발전기</x:v>
      </x:c>
      <x:c r="F30" s="12" t="n">
        <x:v>94</x:v>
      </x:c>
      <x:c r="G30" s="12" t="n">
        <x:v>84</x:v>
      </x:c>
      <x:c r="H30" s="12" t="n">
        <x:v>66</x:v>
      </x:c>
      <x:c r="I30" s="12" t="n">
        <x:v>85</x:v>
      </x:c>
      <x:c r="J30" s="12" t="str">
        <x:v>A</x:v>
      </x:c>
      <x:c r="K30" s="12" t="str">
        <x:v>전원주택 비상전원 소형화 가능성 문의</x:v>
      </x:c>
      <x:c r="L30" s="12" t="str">
        <x:v>공식사이트 재검증 필요</x:v>
      </x:c>
      <x:c r="M30" s="12" t="str">
        <x:v>https://www.keaj.kr/news/articleView.html?idxno=4757</x:v>
      </x:c>
    </x:row>
    <x:row r="31">
      <x:c r="A31" s="12" t="str">
        <x:v>RHY-008</x:v>
      </x:c>
      <x:c r="B31" s="12" t="str">
        <x:v>KJ게이트 / 금전금속</x:v>
      </x:c>
      <x:c r="C31" s="12" t="str">
        <x:v>S01</x:v>
      </x:c>
      <x:c r="D31" s="12" t="str">
        <x:v>GATE</x:v>
      </x:c>
      <x:c r="E31" s="12" t="str">
        <x:v>맞춤대문·휀스</x:v>
      </x:c>
      <x:c r="F31" s="12" t="n">
        <x:v>90</x:v>
      </x:c>
      <x:c r="G31" s="12" t="n">
        <x:v>84</x:v>
      </x:c>
      <x:c r="H31" s="12" t="n">
        <x:v>72</x:v>
      </x:c>
      <x:c r="I31" s="12" t="n">
        <x:v>84</x:v>
      </x:c>
      <x:c r="J31" s="12" t="str">
        <x:v>A</x:v>
      </x:c>
      <x:c r="K31" s="12" t="str">
        <x:v>디자인 대문 컬렉션화 + 맞춤견적 연결</x:v>
      </x:c>
      <x:c r="L31" s="12" t="str">
        <x:v>1차 검증 완료</x:v>
      </x:c>
      <x:c r="M31" s="12" t="str">
        <x:v>https://kjgate.co.kr/door/?bmode=view&amp;idx=16855492</x:v>
      </x:c>
    </x:row>
    <x:row r="32">
      <x:c r="A32" s="12" t="str">
        <x:v>RHY-024</x:v>
      </x:c>
      <x:c r="B32" s="12" t="str">
        <x:v>KDS</x:v>
      </x:c>
      <x:c r="C32" s="12" t="str">
        <x:v>S03</x:v>
      </x:c>
      <x:c r="D32" s="12" t="str">
        <x:v>STORAGE,SMART</x:v>
      </x:c>
      <x:c r="E32" s="12" t="str">
        <x:v>무인택배시스템</x:v>
      </x:c>
      <x:c r="F32" s="12" t="n">
        <x:v>91</x:v>
      </x:c>
      <x:c r="G32" s="12" t="n">
        <x:v>84</x:v>
      </x:c>
      <x:c r="H32" s="12" t="n">
        <x:v>70</x:v>
      </x:c>
      <x:c r="I32" s="12" t="n">
        <x:v>84</x:v>
      </x:c>
      <x:c r="J32" s="12" t="str">
        <x:v>A</x:v>
      </x:c>
      <x:c r="K32" s="12" t="str">
        <x:v>1~수세대용 미니 택배함 라인 전환 가능성 문의</x:v>
      </x:c>
      <x:c r="L32" s="12" t="str">
        <x:v>1차 검증 완료</x:v>
      </x:c>
      <x:c r="M32" s="12" t="str">
        <x:v>https://k-d-s.co.kr/product</x:v>
      </x:c>
    </x:row>
    <x:row r="33">
      <x:c r="A33" s="12" t="str">
        <x:v>RHY-030</x:v>
      </x:c>
      <x:c r="B33" s="12" t="str">
        <x:v>(주)아름철강</x:v>
      </x:c>
      <x:c r="C33" s="12" t="str">
        <x:v>S03</x:v>
      </x:c>
      <x:c r="D33" s="12" t="str">
        <x:v>STORAGE,BUILD</x:v>
      </x:c>
      <x:c r="E33" s="12" t="str">
        <x:v>조립식창고·경량철골</x:v>
      </x:c>
      <x:c r="F33" s="12" t="n">
        <x:v>88</x:v>
      </x:c>
      <x:c r="G33" s="12" t="n">
        <x:v>84</x:v>
      </x:c>
      <x:c r="H33" s="12" t="n">
        <x:v>76</x:v>
      </x:c>
      <x:c r="I33" s="12" t="n">
        <x:v>84</x:v>
      </x:c>
      <x:c r="J33" s="12" t="str">
        <x:v>A</x:v>
      </x:c>
      <x:c r="K33" s="12" t="str">
        <x:v>중대형 창고/차고 견적형 상품으로 전환</x:v>
      </x:c>
      <x:c r="L33" s="12" t="str">
        <x:v>1차 검증 완료</x:v>
      </x:c>
      <x:c r="M33" s="12" t="str">
        <x:v>https://www.arst.co.kr/</x:v>
      </x:c>
    </x:row>
    <x:row r="34">
      <x:c r="A34" s="12" t="str">
        <x:v>RHY-051</x:v>
      </x:c>
      <x:c r="B34" s="12" t="str">
        <x:v>리스퀘어</x:v>
      </x:c>
      <x:c r="C34" s="12" t="str">
        <x:v>S05</x:v>
      </x:c>
      <x:c r="D34" s="12" t="str">
        <x:v>OUTDOOR</x:v>
      </x:c>
      <x:c r="E34" s="12" t="str">
        <x:v>아웃도어키친</x:v>
      </x:c>
      <x:c r="F34" s="12" t="n">
        <x:v>92</x:v>
      </x:c>
      <x:c r="G34" s="12" t="n">
        <x:v>84</x:v>
      </x:c>
      <x:c r="H34" s="12" t="n">
        <x:v>68</x:v>
      </x:c>
      <x:c r="I34" s="12" t="n">
        <x:v>84</x:v>
      </x:c>
      <x:c r="J34" s="12" t="str">
        <x:v>A</x:v>
      </x:c>
      <x:c r="K34" s="12" t="str">
        <x:v>고객 로망형 고가상품: RHINORY 견적/콘텐츠에 적합</x:v>
      </x:c>
      <x:c r="L34" s="12" t="str">
        <x:v>공식사이트 재검증 필요</x:v>
      </x:c>
      <x:c r="M34" s="12" t="str">
        <x:v>https://lisquare4u.tistory.com/265</x:v>
      </x:c>
    </x:row>
    <x:row r="35">
      <x:c r="A35" s="12" t="str">
        <x:v>RHY-058</x:v>
      </x:c>
      <x:c r="B35" s="12" t="str">
        <x:v>뉴트랜드</x:v>
      </x:c>
      <x:c r="C35" s="12" t="str">
        <x:v>S06</x:v>
      </x:c>
      <x:c r="D35" s="12" t="str">
        <x:v>WATER</x:v>
      </x:c>
      <x:c r="E35" s="12" t="str">
        <x:v>조립식/상업 수영장</x:v>
      </x:c>
      <x:c r="F35" s="12" t="n">
        <x:v>90</x:v>
      </x:c>
      <x:c r="G35" s="12" t="n">
        <x:v>84</x:v>
      </x:c>
      <x:c r="H35" s="12" t="n">
        <x:v>72</x:v>
      </x:c>
      <x:c r="I35" s="12" t="n">
        <x:v>84</x:v>
      </x:c>
      <x:c r="J35" s="12" t="str">
        <x:v>A</x:v>
      </x:c>
      <x:c r="K35" s="12" t="str">
        <x:v>전원주택 적용 가능한 소형/조립식 라인 확인</x:v>
      </x:c>
      <x:c r="L35" s="12" t="str">
        <x:v>1차 검증 완료</x:v>
      </x:c>
      <x:c r="M35" s="12" t="str">
        <x:v>https://newtrend.co.kr/</x:v>
      </x:c>
    </x:row>
    <x:row r="36">
      <x:c r="A36" s="12" t="str">
        <x:v>RHY-071</x:v>
      </x:c>
      <x:c r="B36" s="12" t="str">
        <x:v>비반스 / 잇츠스마트팜</x:v>
      </x:c>
      <x:c r="C36" s="12" t="str">
        <x:v>S07</x:v>
      </x:c>
      <x:c r="D36" s="12" t="str">
        <x:v>GARDEN,SMART</x:v>
      </x:c>
      <x:c r="E36" s="12" t="str">
        <x:v>무선 자동관수</x:v>
      </x:c>
      <x:c r="F36" s="12" t="n">
        <x:v>89</x:v>
      </x:c>
      <x:c r="G36" s="12" t="n">
        <x:v>84</x:v>
      </x:c>
      <x:c r="H36" s="12" t="n">
        <x:v>75</x:v>
      </x:c>
      <x:c r="I36" s="12" t="n">
        <x:v>84</x:v>
      </x:c>
      <x:c r="J36" s="12" t="str">
        <x:v>A</x:v>
      </x:c>
      <x:c r="K36" s="12" t="str">
        <x:v>전원주택 정원용 간소화 제품 가능성 문의</x:v>
      </x:c>
      <x:c r="L36" s="12" t="str">
        <x:v>1차 검증 완료</x:v>
      </x:c>
      <x:c r="M36" s="12" t="str">
        <x:v>https://www.vivans.net/news/?vid=103</x:v>
      </x:c>
    </x:row>
    <x:row r="37">
      <x:c r="A37" s="12" t="str">
        <x:v>RHY-001</x:v>
      </x:c>
      <x:c r="B37" s="12" t="str">
        <x:v>현대휀스개발(주)</x:v>
      </x:c>
      <x:c r="C37" s="12" t="str">
        <x:v>S01</x:v>
      </x:c>
      <x:c r="D37" s="12" t="str">
        <x:v>BOUNDARY,GATE</x:v>
      </x:c>
      <x:c r="E37" s="12" t="str">
        <x:v>휀스·울타리</x:v>
      </x:c>
      <x:c r="F37" s="12" t="n">
        <x:v>88</x:v>
      </x:c>
      <x:c r="G37" s="12" t="n">
        <x:v>84</x:v>
      </x:c>
      <x:c r="H37" s="12" t="n">
        <x:v>72</x:v>
      </x:c>
      <x:c r="I37" s="12" t="n">
        <x:v>83</x:v>
      </x:c>
      <x:c r="J37" s="12" t="str">
        <x:v>A</x:v>
      </x:c>
      <x:c r="K37" s="12" t="str">
        <x:v>RHINORY 전원주택 울타리 입점 + 설치/가격 콘텐츠 공동제작</x:v>
      </x:c>
      <x:c r="L37" s="12" t="str">
        <x:v>1차 검증 완료</x:v>
      </x:c>
      <x:c r="M37" s="12" t="str">
        <x:v>https://hdfence.co.kr/</x:v>
      </x:c>
    </x:row>
    <x:row r="38">
      <x:c r="A38" s="12" t="str">
        <x:v>RHY-035</x:v>
      </x:c>
      <x:c r="B38" s="12" t="str">
        <x:v>세연테크</x:v>
      </x:c>
      <x:c r="C38" s="12" t="str">
        <x:v>S04</x:v>
      </x:c>
      <x:c r="D38" s="12" t="str">
        <x:v>SECURITY</x:v>
      </x:c>
      <x:c r="E38" s="12" t="str">
        <x:v>CCTV·비디오서버·VMS</x:v>
      </x:c>
      <x:c r="F38" s="12" t="n">
        <x:v>87</x:v>
      </x:c>
      <x:c r="G38" s="12" t="n">
        <x:v>84</x:v>
      </x:c>
      <x:c r="H38" s="12" t="n">
        <x:v>72</x:v>
      </x:c>
      <x:c r="I38" s="12" t="n">
        <x:v>83</x:v>
      </x:c>
      <x:c r="J38" s="12" t="str">
        <x:v>A</x:v>
      </x:c>
      <x:c r="K38" s="12" t="str">
        <x:v>주택용 제품 존재 여부 확인 후 B2C 재포지셔닝 제안</x:v>
      </x:c>
      <x:c r="L38" s="12" t="str">
        <x:v>공식사이트 재검증 필요</x:v>
      </x:c>
      <x:c r="M38" s="12" t="str">
        <x:v>https://www.icseecam.com/ko/top-10-korean-cctv-manufacturers/</x:v>
      </x:c>
    </x:row>
    <x:row r="39">
      <x:c r="A39" s="12" t="str">
        <x:v>RHY-042</x:v>
      </x:c>
      <x:c r="B39" s="12" t="str">
        <x:v>(주)에스이앤씨</x:v>
      </x:c>
      <x:c r="C39" s="12" t="str">
        <x:v>S05</x:v>
      </x:c>
      <x:c r="D39" s="12" t="str">
        <x:v>OUTDOOR</x:v>
      </x:c>
      <x:c r="E39" s="12" t="str">
        <x:v>에코어닝</x:v>
      </x:c>
      <x:c r="F39" s="12" t="n">
        <x:v>88</x:v>
      </x:c>
      <x:c r="G39" s="12" t="n">
        <x:v>84</x:v>
      </x:c>
      <x:c r="H39" s="12" t="n">
        <x:v>70</x:v>
      </x:c>
      <x:c r="I39" s="12" t="n">
        <x:v>83</x:v>
      </x:c>
      <x:c r="J39" s="12" t="str">
        <x:v>A</x:v>
      </x:c>
      <x:c r="K39" s="12" t="str">
        <x:v>전원주택용 전동어닝 SKU/설치 제휴</x:v>
      </x:c>
      <x:c r="L39" s="12" t="str">
        <x:v>1차 검증 완료</x:v>
      </x:c>
      <x:c r="M39" s="12" t="str">
        <x:v>https://www.sunbaraenc.com/contents/sub01_02.php</x:v>
      </x:c>
    </x:row>
    <x:row r="40">
      <x:c r="A40" s="12" t="str">
        <x:v>RHY-055</x:v>
      </x:c>
      <x:c r="B40" s="12" t="str">
        <x:v>플랜휴(PLANHU)</x:v>
      </x:c>
      <x:c r="C40" s="12" t="str">
        <x:v>S05</x:v>
      </x:c>
      <x:c r="D40" s="12" t="str">
        <x:v>OUTDOOR</x:v>
      </x:c>
      <x:c r="E40" s="12" t="str">
        <x:v>파고라·퍼걸러</x:v>
      </x:c>
      <x:c r="F40" s="12" t="n">
        <x:v>88</x:v>
      </x:c>
      <x:c r="G40" s="12" t="n">
        <x:v>84</x:v>
      </x:c>
      <x:c r="H40" s="12" t="n">
        <x:v>70</x:v>
      </x:c>
      <x:c r="I40" s="12" t="n">
        <x:v>83</x:v>
      </x:c>
      <x:c r="J40" s="12" t="str">
        <x:v>A</x:v>
      </x:c>
      <x:c r="K40" s="12" t="str">
        <x:v>주택용 디자인 파고라 라인 재구성 제안</x:v>
      </x:c>
      <x:c r="L40" s="12" t="str">
        <x:v>1차 검증 완료</x:v>
      </x:c>
      <x:c r="M40" s="12" t="str">
        <x:v>https://www.planhu.com/49</x:v>
      </x:c>
    </x:row>
    <x:row r="41">
      <x:c r="A41" s="12" t="str">
        <x:v>RHY-080</x:v>
      </x:c>
      <x:c r="B41" s="12" t="str">
        <x:v>썬테크</x:v>
      </x:c>
      <x:c r="C41" s="12" t="str">
        <x:v>S09</x:v>
      </x:c>
      <x:c r="D41" s="12" t="str">
        <x:v>POWER</x:v>
      </x:c>
      <x:c r="E41" s="12" t="str">
        <x:v>비상발전기</x:v>
      </x:c>
      <x:c r="F41" s="12" t="n">
        <x:v>91</x:v>
      </x:c>
      <x:c r="G41" s="12" t="n">
        <x:v>84</x:v>
      </x:c>
      <x:c r="H41" s="12" t="n">
        <x:v>62</x:v>
      </x:c>
      <x:c r="I41" s="12" t="n">
        <x:v>83</x:v>
      </x:c>
      <x:c r="J41" s="12" t="str">
        <x:v>A</x:v>
      </x:c>
      <x:c r="K41" s="12" t="str">
        <x:v>가정/소형 상업용 모델 존재 여부 확인</x:v>
      </x:c>
      <x:c r="L41" s="12" t="str">
        <x:v>공식사이트 재검증 필요</x:v>
      </x:c>
      <x:c r="M41" s="12" t="str">
        <x:v>https://www.youtube.com/watch?v=MWSuFPxxwCc</x:v>
      </x:c>
    </x:row>
    <x:row r="42">
      <x:c r="A42" s="12" t="str">
        <x:v>RHY-085</x:v>
      </x:c>
      <x:c r="B42" s="12" t="str">
        <x:v>(주)미래테크</x:v>
      </x:c>
      <x:c r="C42" s="12" t="str">
        <x:v>S09</x:v>
      </x:c>
      <x:c r="D42" s="12" t="str">
        <x:v>POWER</x:v>
      </x:c>
      <x:c r="E42" s="12" t="str">
        <x:v>소형 풍력발전</x:v>
      </x:c>
      <x:c r="F42" s="12" t="n">
        <x:v>86</x:v>
      </x:c>
      <x:c r="G42" s="12" t="n">
        <x:v>92</x:v>
      </x:c>
      <x:c r="H42" s="12" t="n">
        <x:v>62</x:v>
      </x:c>
      <x:c r="I42" s="12" t="n">
        <x:v>83</x:v>
      </x:c>
      <x:c r="J42" s="12" t="str">
        <x:v>A</x:v>
      </x:c>
      <x:c r="K42" s="12" t="str">
        <x:v>차별화 에너지 상품, 현재 사업 지속여부 우선 확인</x:v>
      </x:c>
      <x:c r="L42" s="12" t="str">
        <x:v>공식사이트 재검증 필요</x:v>
      </x:c>
      <x:c r="M42" s="12" t="str">
        <x:v>https://gonggam.korea.kr/newsContentView.es?mid=a12503000000&amp;news_id=EBC6D400EED64203E0540021F662AC5F&amp;section_id=</x:v>
      </x:c>
    </x:row>
    <x:row r="43">
      <x:c r="A43" s="12" t="str">
        <x:v>RHY-034</x:v>
      </x:c>
      <x:c r="B43" s="12" t="str">
        <x:v>CNB Technology</x:v>
      </x:c>
      <x:c r="C43" s="12" t="str">
        <x:v>S04</x:v>
      </x:c>
      <x:c r="D43" s="12" t="str">
        <x:v>SECURITY</x:v>
      </x:c>
      <x:c r="E43" s="12" t="str">
        <x:v>CCTV·DVR/NVR</x:v>
      </x:c>
      <x:c r="F43" s="12" t="n">
        <x:v>86</x:v>
      </x:c>
      <x:c r="G43" s="12" t="n">
        <x:v>84</x:v>
      </x:c>
      <x:c r="H43" s="12" t="n">
        <x:v>68</x:v>
      </x:c>
      <x:c r="I43" s="12" t="n">
        <x:v>82</x:v>
      </x:c>
      <x:c r="J43" s="12" t="str">
        <x:v>A</x:v>
      </x:c>
      <x:c r="K43" s="12" t="str">
        <x:v>중저가 주택 CCTV 패키지/OEM 가능성 확인</x:v>
      </x:c>
      <x:c r="L43" s="12" t="str">
        <x:v>공식사이트 재검증 필요</x:v>
      </x:c>
      <x:c r="M43" s="12" t="str">
        <x:v>https://www.icseecam.com/ko/top-10-korean-cctv-manufacturers/</x:v>
      </x:c>
    </x:row>
  </x:sheetData>
  <x:conditionalFormatting sqref="I2:I4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{6DADAA71-ACA5-7CFB-907E-AE781C6D2D68}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30f866a38e0464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DADAA71-ACA5-7CFB-907E-AE781C6D2D68}">
            <x14:dataBar gradient="1">
              <x14:cfvo type="min"/>
              <x14:cfvo type="max"/>
              <x14:fillColor rgb="FFA02B93"/>
            </x14:dataBar>
          </x14:cfRule>
          <xm:sqref>I2:I43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22" hidden="0" customWidth="1"/>
    <x:col min="5" max="5" width="14" hidden="0" customWidth="1"/>
    <x:col min="6" max="6" width="34" hidden="0" customWidth="1"/>
  </x:cols>
  <x:sheetData>
    <x:row r="1">
      <x:c r="A1" s="18" t="str">
        <x:v>소싱군</x:v>
      </x:c>
      <x:c r="B1" s="18" t="str">
        <x:v>소싱 목적</x:v>
      </x:c>
      <x:c r="C1" s="18" t="str">
        <x:v>대표 상품</x:v>
      </x:c>
      <x:c r="D1" s="18" t="str">
        <x:v>RHINORY 연결</x:v>
      </x:c>
      <x:c r="E1" s="18" t="str">
        <x:v>초기 중요도</x:v>
      </x:c>
      <x:c r="F1" s="18" t="str">
        <x:v>검색 핵심</x:v>
      </x:c>
    </x:row>
    <x:row r="2">
      <x:c r="A2" s="12" t="str">
        <x:v>S01</x:v>
      </x:c>
      <x:c r="B2" s="12" t="str">
        <x:v>경계·출입</x:v>
      </x:c>
      <x:c r="C2" s="12" t="str">
        <x:v>담장, 휀스, 대문, 자동게이트</x:v>
      </x:c>
      <x:c r="D2" s="12" t="str">
        <x:v>BOUNDARY/GATE</x:v>
      </x:c>
      <x:c r="E2" s="12" t="str">
        <x:v>A</x:v>
      </x:c>
      <x:c r="F2" s="12" t="str">
        <x:v>제조/직접제작/시공/도매</x:v>
      </x:c>
    </x:row>
    <x:row r="3">
      <x:c r="A3" s="12" t="str">
        <x:v>S02</x:v>
      </x:c>
      <x:c r="B3" s="12" t="str">
        <x:v>주차·전동화</x:v>
      </x:c>
      <x:c r="C3" s="12" t="str">
        <x:v>카포트, 차고, EV충전</x:v>
      </x:c>
      <x:c r="D3" s="12" t="str">
        <x:v>PARKING/POWER</x:v>
      </x:c>
      <x:c r="E3" s="12" t="str">
        <x:v>A</x:v>
      </x:c>
      <x:c r="F3" s="12" t="str">
        <x:v>제조사/완속/설치/대리점</x:v>
      </x:c>
    </x:row>
    <x:row r="4">
      <x:c r="A4" s="12" t="str">
        <x:v>S03</x:v>
      </x:c>
      <x:c r="B4" s="12" t="str">
        <x:v>보관·택배</x:v>
      </x:c>
      <x:c r="C4" s="12" t="str">
        <x:v>창고, 야외수납, 택배함, 분리수거</x:v>
      </x:c>
      <x:c r="D4" s="12" t="str">
        <x:v>STORAGE</x:v>
      </x:c>
      <x:c r="E4" s="12" t="str">
        <x:v>A</x:v>
      </x:c>
      <x:c r="F4" s="12" t="str">
        <x:v>직접제조/OEM/맞춤/조립식</x:v>
      </x:c>
    </x:row>
    <x:row r="5">
      <x:c r="A5" s="12" t="str">
        <x:v>S04</x:v>
      </x:c>
      <x:c r="B5" s="12" t="str">
        <x:v>보안·스마트</x:v>
      </x:c>
      <x:c r="C5" s="12" t="str">
        <x:v>CCTV, 도어락, 센서, 스마트홈</x:v>
      </x:c>
      <x:c r="D5" s="12" t="str">
        <x:v>SECURITY/SMART</x:v>
      </x:c>
      <x:c r="E5" s="12" t="str">
        <x:v>A</x:v>
      </x:c>
      <x:c r="F5" s="12" t="str">
        <x:v>OEM/ODM/주거용/연동</x:v>
      </x:c>
    </x:row>
    <x:row r="6">
      <x:c r="A6" s="12" t="str">
        <x:v>S05</x:v>
      </x:c>
      <x:c r="B6" s="12" t="str">
        <x:v>야외생활</x:v>
      </x:c>
      <x:c r="C6" s="12" t="str">
        <x:v>퍼골라, 어닝, 데크, 야외가구, 야외주방</x:v>
      </x:c>
      <x:c r="D6" s="12" t="str">
        <x:v>OUTDOOR</x:v>
      </x:c>
      <x:c r="E6" s="12" t="str">
        <x:v>A</x:v>
      </x:c>
      <x:c r="F6" s="12" t="str">
        <x:v>국내생산/맞춤/OEM/B2B</x:v>
      </x:c>
    </x:row>
    <x:row r="7">
      <x:c r="A7" s="12" t="str">
        <x:v>S06</x:v>
      </x:c>
      <x:c r="B7" s="12" t="str">
        <x:v>물·웰니스</x:v>
      </x:c>
      <x:c r="C7" s="12" t="str">
        <x:v>수영장, 자쿠지, 사우나, 수처리</x:v>
      </x:c>
      <x:c r="D7" s="12" t="str">
        <x:v>WATER</x:v>
      </x:c>
      <x:c r="E7" s="12" t="str">
        <x:v>B</x:v>
      </x:c>
      <x:c r="F7" s="12" t="str">
        <x:v>설비/조립식/여과/가정용</x:v>
      </x:c>
    </x:row>
    <x:row r="8">
      <x:c r="A8" s="12" t="str">
        <x:v>S07</x:v>
      </x:c>
      <x:c r="B8" s="12" t="str">
        <x:v>정원·조경</x:v>
      </x:c>
      <x:c r="C8" s="12" t="str">
        <x:v>관수, 잔디, 조경자재, 수목관리</x:v>
      </x:c>
      <x:c r="D8" s="12" t="str">
        <x:v>GARDEN</x:v>
      </x:c>
      <x:c r="E8" s="12" t="str">
        <x:v>A</x:v>
      </x:c>
      <x:c r="F8" s="12" t="str">
        <x:v>자동관수/직접제작/도매</x:v>
      </x:c>
    </x:row>
    <x:row r="9">
      <x:c r="A9" s="12" t="str">
        <x:v>S08</x:v>
      </x:c>
      <x:c r="B9" s="12" t="str">
        <x:v>주택관리</x:v>
      </x:c>
      <x:c r="C9" s="12" t="str">
        <x:v>고압세척, 외벽/데크 관리</x:v>
      </x:c>
      <x:c r="D9" s="12" t="str">
        <x:v>MAINTENANCE</x:v>
      </x:c>
      <x:c r="E9" s="12" t="str">
        <x:v>B</x:v>
      </x:c>
      <x:c r="F9" s="12" t="str">
        <x:v>국내제작/공식수입/소형</x:v>
      </x:c>
    </x:row>
    <x:row r="10">
      <x:c r="A10" s="12" t="str">
        <x:v>S09</x:v>
      </x:c>
      <x:c r="B10" s="12" t="str">
        <x:v>에너지</x:v>
      </x:c>
      <x:c r="C10" s="12" t="str">
        <x:v>태양광, 인버터, 비상전원, 발전기</x:v>
      </x:c>
      <x:c r="D10" s="12" t="str">
        <x:v>POWER</x:v>
      </x:c>
      <x:c r="E10" s="12" t="str">
        <x:v>B</x:v>
      </x:c>
      <x:c r="F10" s="12" t="str">
        <x:v>주택용/소형/제조/A/S</x:v>
      </x:c>
    </x:row>
    <x:row r="11">
      <x:c r="A11" s="12" t="str">
        <x:v>S10</x:v>
      </x:c>
      <x:c r="B11" s="12" t="str">
        <x:v>펫·키즈</x:v>
      </x:c>
      <x:c r="C11" s="12" t="str">
        <x:v>반려견 공간, 어린이 놀이시설</x:v>
      </x:c>
      <x:c r="D11" s="12" t="str">
        <x:v>OUTDOOR/BUILD</x:v>
      </x:c>
      <x:c r="E11" s="12" t="str">
        <x:v>C</x:v>
      </x:c>
      <x:c r="F11" s="12" t="str">
        <x:v>소형화/모듈/조경시설 제조</x:v>
      </x:c>
    </x:row>
  </x:sheetData>
  <x:pageMargins left="0.7" right="0.7" top="0.75" bottom="0.75" header="0.3" footer="0.3"/>
  <x:tableParts count="1">
    <x:tablePart xmlns:r="http://schemas.openxmlformats.org/officeDocument/2006/relationships" r:id="R6164beaa2f604c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4" hidden="0" customWidth="1"/>
  </x:cols>
  <x:sheetData>
    <x:row r="1">
      <x:c r="A1" s="18" t="str">
        <x:v>소싱군</x:v>
      </x:c>
      <x:c r="B1" s="18" t="str">
        <x:v>목적</x:v>
      </x:c>
      <x:c r="C1" s="18" t="str">
        <x:v>검색어</x:v>
      </x:c>
    </x:row>
    <x:row r="2">
      <x:c r="A2" s="12" t="str">
        <x:v>S01</x:v>
      </x:c>
      <x:c r="B2" s="12" t="str">
        <x:v>업체 발굴</x:v>
      </x:c>
      <x:c r="C2" s="12" t="str">
        <x:v>휀스 제조업체 공장</x:v>
      </x:c>
    </x:row>
    <x:row r="3">
      <x:c r="A3" s="12" t="str">
        <x:v>S01</x:v>
      </x:c>
      <x:c r="B3" s="12" t="str">
        <x:v>업체 발굴</x:v>
      </x:c>
      <x:c r="C3" s="12" t="str">
        <x:v>디자인휀스 직접제조</x:v>
      </x:c>
    </x:row>
    <x:row r="4">
      <x:c r="A4" s="12" t="str">
        <x:v>S01</x:v>
      </x:c>
      <x:c r="B4" s="12" t="str">
        <x:v>업체 발굴</x:v>
      </x:c>
      <x:c r="C4" s="12" t="str">
        <x:v>전원주택 대문 제작업체</x:v>
      </x:c>
    </x:row>
    <x:row r="5">
      <x:c r="A5" s="12" t="str">
        <x:v>S01</x:v>
      </x:c>
      <x:c r="B5" s="12" t="str">
        <x:v>업체 발굴</x:v>
      </x:c>
      <x:c r="C5" s="12" t="str">
        <x:v>자동대문 제조사</x:v>
      </x:c>
    </x:row>
    <x:row r="6">
      <x:c r="A6" s="12" t="str">
        <x:v>S01</x:v>
      </x:c>
      <x:c r="B6" s="12" t="str">
        <x:v>업체 발굴</x:v>
      </x:c>
      <x:c r="C6" s="12" t="str">
        <x:v>휀스 자재 납품</x:v>
      </x:c>
    </x:row>
    <x:row r="7">
      <x:c r="A7" s="12" t="str">
        <x:v>S01</x:v>
      </x:c>
      <x:c r="B7" s="12" t="str">
        <x:v>업체 발굴</x:v>
      </x:c>
      <x:c r="C7" s="12" t="str">
        <x:v>휀스 OEM</x:v>
      </x:c>
    </x:row>
    <x:row r="8">
      <x:c r="A8" s="12" t="str">
        <x:v>S01</x:v>
      </x:c>
      <x:c r="B8" s="12" t="str">
        <x:v>업체 발굴</x:v>
      </x:c>
      <x:c r="C8" s="12" t="str">
        <x:v>대문 맞춤제작 공장</x:v>
      </x:c>
    </x:row>
    <x:row r="9">
      <x:c r="A9" s="12" t="str">
        <x:v>S01</x:v>
      </x:c>
      <x:c r="B9" s="12" t="str">
        <x:v>업체 발굴</x:v>
      </x:c>
      <x:c r="C9" s="12" t="str">
        <x:v>휀스 전국 시공</x:v>
      </x:c>
    </x:row>
    <x:row r="10">
      <x:c r="A10" s="12" t="str">
        <x:v>S02</x:v>
      </x:c>
      <x:c r="B10" s="12" t="str">
        <x:v>업체 발굴</x:v>
      </x:c>
      <x:c r="C10" s="12" t="str">
        <x:v>전기차 완속충전기 제조업체</x:v>
      </x:c>
    </x:row>
    <x:row r="11">
      <x:c r="A11" s="12" t="str">
        <x:v>S02</x:v>
      </x:c>
      <x:c r="B11" s="12" t="str">
        <x:v>업체 발굴</x:v>
      </x:c>
      <x:c r="C11" s="12" t="str">
        <x:v>EV충전기 대리점 모집</x:v>
      </x:c>
    </x:row>
    <x:row r="12">
      <x:c r="A12" s="12" t="str">
        <x:v>S02</x:v>
      </x:c>
      <x:c r="B12" s="12" t="str">
        <x:v>업체 발굴</x:v>
      </x:c>
      <x:c r="C12" s="12" t="str">
        <x:v>전기차 충전기 OEM</x:v>
      </x:c>
    </x:row>
    <x:row r="13">
      <x:c r="A13" s="12" t="str">
        <x:v>S02</x:v>
      </x:c>
      <x:c r="B13" s="12" t="str">
        <x:v>업체 발굴</x:v>
      </x:c>
      <x:c r="C13" s="12" t="str">
        <x:v>주택용 EV충전기 공급</x:v>
      </x:c>
    </x:row>
    <x:row r="14">
      <x:c r="A14" s="12" t="str">
        <x:v>S02</x:v>
      </x:c>
      <x:c r="B14" s="12" t="str">
        <x:v>업체 발굴</x:v>
      </x:c>
      <x:c r="C14" s="12" t="str">
        <x:v>카포트 제조업체</x:v>
      </x:c>
    </x:row>
    <x:row r="15">
      <x:c r="A15" s="12" t="str">
        <x:v>S02</x:v>
      </x:c>
      <x:c r="B15" s="12" t="str">
        <x:v>업체 발굴</x:v>
      </x:c>
      <x:c r="C15" s="12" t="str">
        <x:v>전원주택 차고 제작</x:v>
      </x:c>
    </x:row>
    <x:row r="16">
      <x:c r="A16" s="12" t="str">
        <x:v>S02</x:v>
      </x:c>
      <x:c r="B16" s="12" t="str">
        <x:v>업체 발굴</x:v>
      </x:c>
      <x:c r="C16" s="12" t="str">
        <x:v>주차장 캐노피 공장</x:v>
      </x:c>
    </x:row>
    <x:row r="17">
      <x:c r="A17" s="12" t="str">
        <x:v>S02</x:v>
      </x:c>
      <x:c r="B17" s="12" t="str">
        <x:v>업체 발굴</x:v>
      </x:c>
      <x:c r="C17" s="12" t="str">
        <x:v>EV충전기 설치업체</x:v>
      </x:c>
    </x:row>
    <x:row r="18">
      <x:c r="A18" s="12" t="str">
        <x:v>S03</x:v>
      </x:c>
      <x:c r="B18" s="12" t="str">
        <x:v>업체 발굴</x:v>
      </x:c>
      <x:c r="C18" s="12" t="str">
        <x:v>무인택배함 제조업체</x:v>
      </x:c>
    </x:row>
    <x:row r="19">
      <x:c r="A19" s="12" t="str">
        <x:v>S03</x:v>
      </x:c>
      <x:c r="B19" s="12" t="str">
        <x:v>업체 발굴</x:v>
      </x:c>
      <x:c r="C19" s="12" t="str">
        <x:v>택배보관함 직접제조</x:v>
      </x:c>
    </x:row>
    <x:row r="20">
      <x:c r="A20" s="12" t="str">
        <x:v>S03</x:v>
      </x:c>
      <x:c r="B20" s="12" t="str">
        <x:v>업체 발굴</x:v>
      </x:c>
      <x:c r="C20" s="12" t="str">
        <x:v>우편함 택배함 주문제작</x:v>
      </x:c>
    </x:row>
    <x:row r="21">
      <x:c r="A21" s="12" t="str">
        <x:v>S03</x:v>
      </x:c>
      <x:c r="B21" s="12" t="str">
        <x:v>업체 발굴</x:v>
      </x:c>
      <x:c r="C21" s="12" t="str">
        <x:v>조립식창고 제조업체</x:v>
      </x:c>
    </x:row>
    <x:row r="22">
      <x:c r="A22" s="12" t="str">
        <x:v>S03</x:v>
      </x:c>
      <x:c r="B22" s="12" t="str">
        <x:v>업체 발굴</x:v>
      </x:c>
      <x:c r="C22" s="12" t="str">
        <x:v>야외창고 공식수입</x:v>
      </x:c>
    </x:row>
    <x:row r="23">
      <x:c r="A23" s="12" t="str">
        <x:v>S03</x:v>
      </x:c>
      <x:c r="B23" s="12" t="str">
        <x:v>업체 발굴</x:v>
      </x:c>
      <x:c r="C23" s="12" t="str">
        <x:v>금속창고 공장</x:v>
      </x:c>
    </x:row>
    <x:row r="24">
      <x:c r="A24" s="12" t="str">
        <x:v>S03</x:v>
      </x:c>
      <x:c r="B24" s="12" t="str">
        <x:v>업체 발굴</x:v>
      </x:c>
      <x:c r="C24" s="12" t="str">
        <x:v>분리수거함 제조사</x:v>
      </x:c>
    </x:row>
    <x:row r="25">
      <x:c r="A25" s="12" t="str">
        <x:v>S03</x:v>
      </x:c>
      <x:c r="B25" s="12" t="str">
        <x:v>업체 발굴</x:v>
      </x:c>
      <x:c r="C25" s="12" t="str">
        <x:v>야외수납 OEM</x:v>
      </x:c>
    </x:row>
    <x:row r="26">
      <x:c r="A26" s="12" t="str">
        <x:v>S04</x:v>
      </x:c>
      <x:c r="B26" s="12" t="str">
        <x:v>업체 발굴</x:v>
      </x:c>
      <x:c r="C26" s="12" t="str">
        <x:v>국내 CCTV 제조업체 OEM</x:v>
      </x:c>
    </x:row>
    <x:row r="27">
      <x:c r="A27" s="12" t="str">
        <x:v>S04</x:v>
      </x:c>
      <x:c r="B27" s="12" t="str">
        <x:v>업체 발굴</x:v>
      </x:c>
      <x:c r="C27" s="12" t="str">
        <x:v>보안카메라 제조사</x:v>
      </x:c>
    </x:row>
    <x:row r="28">
      <x:c r="A28" s="12" t="str">
        <x:v>S04</x:v>
      </x:c>
      <x:c r="B28" s="12" t="str">
        <x:v>업체 발굴</x:v>
      </x:c>
      <x:c r="C28" s="12" t="str">
        <x:v>스마트도어락 OEM ODM</x:v>
      </x:c>
    </x:row>
    <x:row r="29">
      <x:c r="A29" s="12" t="str">
        <x:v>S04</x:v>
      </x:c>
      <x:c r="B29" s="12" t="str">
        <x:v>업체 발굴</x:v>
      </x:c>
      <x:c r="C29" s="12" t="str">
        <x:v>주택 CCTV 패키지 제조</x:v>
      </x:c>
    </x:row>
    <x:row r="30">
      <x:c r="A30" s="12" t="str">
        <x:v>S04</x:v>
      </x:c>
      <x:c r="B30" s="12" t="str">
        <x:v>업체 발굴</x:v>
      </x:c>
      <x:c r="C30" s="12" t="str">
        <x:v>스마트홈 IoT 중소기업</x:v>
      </x:c>
    </x:row>
    <x:row r="31">
      <x:c r="A31" s="12" t="str">
        <x:v>S04</x:v>
      </x:c>
      <x:c r="B31" s="12" t="str">
        <x:v>업체 발굴</x:v>
      </x:c>
      <x:c r="C31" s="12" t="str">
        <x:v>홈보안 제조업체</x:v>
      </x:c>
    </x:row>
    <x:row r="32">
      <x:c r="A32" s="12" t="str">
        <x:v>S04</x:v>
      </x:c>
      <x:c r="B32" s="12" t="str">
        <x:v>업체 발굴</x:v>
      </x:c>
      <x:c r="C32" s="12" t="str">
        <x:v>센서 제조사 IoT</x:v>
      </x:c>
    </x:row>
    <x:row r="33">
      <x:c r="A33" s="12" t="str">
        <x:v>S04</x:v>
      </x:c>
      <x:c r="B33" s="12" t="str">
        <x:v>업체 발굴</x:v>
      </x:c>
      <x:c r="C33" s="12" t="str">
        <x:v>비디오도어폰 제조사</x:v>
      </x:c>
    </x:row>
    <x:row r="34">
      <x:c r="A34" s="12" t="str">
        <x:v>S05</x:v>
      </x:c>
      <x:c r="B34" s="12" t="str">
        <x:v>업체 발굴</x:v>
      </x:c>
      <x:c r="C34" s="12" t="str">
        <x:v>시스템파고라 국내생산</x:v>
      </x:c>
    </x:row>
    <x:row r="35">
      <x:c r="A35" s="12" t="str">
        <x:v>S05</x:v>
      </x:c>
      <x:c r="B35" s="12" t="str">
        <x:v>업체 발굴</x:v>
      </x:c>
      <x:c r="C35" s="12" t="str">
        <x:v>전동어닝 제조업체</x:v>
      </x:c>
    </x:row>
    <x:row r="36">
      <x:c r="A36" s="12" t="str">
        <x:v>S05</x:v>
      </x:c>
      <x:c r="B36" s="12" t="str">
        <x:v>업체 발굴</x:v>
      </x:c>
      <x:c r="C36" s="12" t="str">
        <x:v>어닝 부속 제조공장</x:v>
      </x:c>
    </x:row>
    <x:row r="37">
      <x:c r="A37" s="12" t="str">
        <x:v>S05</x:v>
      </x:c>
      <x:c r="B37" s="12" t="str">
        <x:v>업체 발굴</x:v>
      </x:c>
      <x:c r="C37" s="12" t="str">
        <x:v>합성목재 데크 직접제조</x:v>
      </x:c>
    </x:row>
    <x:row r="38">
      <x:c r="A38" s="12" t="str">
        <x:v>S05</x:v>
      </x:c>
      <x:c r="B38" s="12" t="str">
        <x:v>업체 발굴</x:v>
      </x:c>
      <x:c r="C38" s="12" t="str">
        <x:v>야외가구 B2B 도매</x:v>
      </x:c>
    </x:row>
    <x:row r="39">
      <x:c r="A39" s="12" t="str">
        <x:v>S05</x:v>
      </x:c>
      <x:c r="B39" s="12" t="str">
        <x:v>업체 발굴</x:v>
      </x:c>
      <x:c r="C39" s="12" t="str">
        <x:v>아웃도어가구 OEM</x:v>
      </x:c>
    </x:row>
    <x:row r="40">
      <x:c r="A40" s="12" t="str">
        <x:v>S05</x:v>
      </x:c>
      <x:c r="B40" s="12" t="str">
        <x:v>업체 발굴</x:v>
      </x:c>
      <x:c r="C40" s="12" t="str">
        <x:v>야외주방 맞춤제작</x:v>
      </x:c>
    </x:row>
    <x:row r="41">
      <x:c r="A41" s="12" t="str">
        <x:v>S05</x:v>
      </x:c>
      <x:c r="B41" s="12" t="str">
        <x:v>업체 발굴</x:v>
      </x:c>
      <x:c r="C41" s="12" t="str">
        <x:v>조경시설물 퍼걸러 제조</x:v>
      </x:c>
    </x:row>
    <x:row r="42">
      <x:c r="A42" s="12" t="str">
        <x:v>S06</x:v>
      </x:c>
      <x:c r="B42" s="12" t="str">
        <x:v>업체 발굴</x:v>
      </x:c>
      <x:c r="C42" s="12" t="str">
        <x:v>수영장 시공 설비 전문업체</x:v>
      </x:c>
    </x:row>
    <x:row r="43">
      <x:c r="A43" s="12" t="str">
        <x:v>S06</x:v>
      </x:c>
      <x:c r="B43" s="12" t="str">
        <x:v>업체 발굴</x:v>
      </x:c>
      <x:c r="C43" s="12" t="str">
        <x:v>조립식 수영장 제작</x:v>
      </x:c>
    </x:row>
    <x:row r="44">
      <x:c r="A44" s="12" t="str">
        <x:v>S06</x:v>
      </x:c>
      <x:c r="B44" s="12" t="str">
        <x:v>업체 발굴</x:v>
      </x:c>
      <x:c r="C44" s="12" t="str">
        <x:v>수영장 여과기 공급업체</x:v>
      </x:c>
    </x:row>
    <x:row r="45">
      <x:c r="A45" s="12" t="str">
        <x:v>S06</x:v>
      </x:c>
      <x:c r="B45" s="12" t="str">
        <x:v>업체 발굴</x:v>
      </x:c>
      <x:c r="C45" s="12" t="str">
        <x:v>수영장 펌프 제조 유통</x:v>
      </x:c>
    </x:row>
    <x:row r="46">
      <x:c r="A46" s="12" t="str">
        <x:v>S06</x:v>
      </x:c>
      <x:c r="B46" s="12" t="str">
        <x:v>업체 발굴</x:v>
      </x:c>
      <x:c r="C46" s="12" t="str">
        <x:v>가정용 사우나 국내제작</x:v>
      </x:c>
    </x:row>
    <x:row r="47">
      <x:c r="A47" s="12" t="str">
        <x:v>S06</x:v>
      </x:c>
      <x:c r="B47" s="12" t="str">
        <x:v>업체 발굴</x:v>
      </x:c>
      <x:c r="C47" s="12" t="str">
        <x:v>야외 스파 자쿠지 업체</x:v>
      </x:c>
    </x:row>
    <x:row r="48">
      <x:c r="A48" s="12" t="str">
        <x:v>S06</x:v>
      </x:c>
      <x:c r="B48" s="12" t="str">
        <x:v>업체 발굴</x:v>
      </x:c>
      <x:c r="C48" s="12" t="str">
        <x:v>스마트 수처리 수영장</x:v>
      </x:c>
    </x:row>
    <x:row r="49">
      <x:c r="A49" s="12" t="str">
        <x:v>S06</x:v>
      </x:c>
      <x:c r="B49" s="12" t="str">
        <x:v>업체 발굴</x:v>
      </x:c>
      <x:c r="C49" s="12" t="str">
        <x:v>전원주택 수영장 견적</x:v>
      </x:c>
    </x:row>
    <x:row r="50">
      <x:c r="A50" s="12" t="str">
        <x:v>S07</x:v>
      </x:c>
      <x:c r="B50" s="12" t="str">
        <x:v>업체 발굴</x:v>
      </x:c>
      <x:c r="C50" s="12" t="str">
        <x:v>자동관수 시스템 제조업체</x:v>
      </x:c>
    </x:row>
    <x:row r="51">
      <x:c r="A51" s="12" t="str">
        <x:v>S07</x:v>
      </x:c>
      <x:c r="B51" s="12" t="str">
        <x:v>업체 발굴</x:v>
      </x:c>
      <x:c r="C51" s="12" t="str">
        <x:v>관수 컨트롤러 OEM</x:v>
      </x:c>
    </x:row>
    <x:row r="52">
      <x:c r="A52" s="12" t="str">
        <x:v>S07</x:v>
      </x:c>
      <x:c r="B52" s="12" t="str">
        <x:v>업체 발굴</x:v>
      </x:c>
      <x:c r="C52" s="12" t="str">
        <x:v>스프링클러 도매 공급</x:v>
      </x:c>
    </x:row>
    <x:row r="53">
      <x:c r="A53" s="12" t="str">
        <x:v>S07</x:v>
      </x:c>
      <x:c r="B53" s="12" t="str">
        <x:v>업체 발굴</x:v>
      </x:c>
      <x:c r="C53" s="12" t="str">
        <x:v>조경자재 직접제작</x:v>
      </x:c>
    </x:row>
    <x:row r="54">
      <x:c r="A54" s="12" t="str">
        <x:v>S07</x:v>
      </x:c>
      <x:c r="B54" s="12" t="str">
        <x:v>업체 발굴</x:v>
      </x:c>
      <x:c r="C54" s="12" t="str">
        <x:v>인조잔디 국내제조</x:v>
      </x:c>
    </x:row>
    <x:row r="55">
      <x:c r="A55" s="12" t="str">
        <x:v>S07</x:v>
      </x:c>
      <x:c r="B55" s="12" t="str">
        <x:v>업체 발굴</x:v>
      </x:c>
      <x:c r="C55" s="12" t="str">
        <x:v>잔디 시공 전문업체</x:v>
      </x:c>
    </x:row>
    <x:row r="56">
      <x:c r="A56" s="12" t="str">
        <x:v>S07</x:v>
      </x:c>
      <x:c r="B56" s="12" t="str">
        <x:v>업체 발굴</x:v>
      </x:c>
      <x:c r="C56" s="12" t="str">
        <x:v>정원자재 B2B</x:v>
      </x:c>
    </x:row>
    <x:row r="57">
      <x:c r="A57" s="12" t="str">
        <x:v>S07</x:v>
      </x:c>
      <x:c r="B57" s="12" t="str">
        <x:v>업체 발굴</x:v>
      </x:c>
      <x:c r="C57" s="12" t="str">
        <x:v>무선 자동관수 시스템</x:v>
      </x:c>
    </x:row>
    <x:row r="58">
      <x:c r="A58" s="12" t="str">
        <x:v>S08</x:v>
      </x:c>
      <x:c r="B58" s="12" t="str">
        <x:v>업체 발굴</x:v>
      </x:c>
      <x:c r="C58" s="12" t="str">
        <x:v>국내 고압세척기 제조업체</x:v>
      </x:c>
    </x:row>
    <x:row r="59">
      <x:c r="A59" s="12" t="str">
        <x:v>S08</x:v>
      </x:c>
      <x:c r="B59" s="12" t="str">
        <x:v>업체 발굴</x:v>
      </x:c>
      <x:c r="C59" s="12" t="str">
        <x:v>고압세척기 직접제작</x:v>
      </x:c>
    </x:row>
    <x:row r="60">
      <x:c r="A60" s="12" t="str">
        <x:v>S08</x:v>
      </x:c>
      <x:c r="B60" s="12" t="str">
        <x:v>업체 발굴</x:v>
      </x:c>
      <x:c r="C60" s="12" t="str">
        <x:v>외벽 세척 장비 공급</x:v>
      </x:c>
    </x:row>
    <x:row r="61">
      <x:c r="A61" s="12" t="str">
        <x:v>S08</x:v>
      </x:c>
      <x:c r="B61" s="12" t="str">
        <x:v>업체 발굴</x:v>
      </x:c>
      <x:c r="C61" s="12" t="str">
        <x:v>데크 세척기 도매</x:v>
      </x:c>
    </x:row>
    <x:row r="62">
      <x:c r="A62" s="12" t="str">
        <x:v>S08</x:v>
      </x:c>
      <x:c r="B62" s="12" t="str">
        <x:v>업체 발굴</x:v>
      </x:c>
      <x:c r="C62" s="12" t="str">
        <x:v>산업용 고압세척기 국내</x:v>
      </x:c>
    </x:row>
    <x:row r="63">
      <x:c r="A63" s="12" t="str">
        <x:v>S08</x:v>
      </x:c>
      <x:c r="B63" s="12" t="str">
        <x:v>업체 발굴</x:v>
      </x:c>
      <x:c r="C63" s="12" t="str">
        <x:v>스팀 청소기 제조업체</x:v>
      </x:c>
    </x:row>
    <x:row r="64">
      <x:c r="A64" s="12" t="str">
        <x:v>S08</x:v>
      </x:c>
      <x:c r="B64" s="12" t="str">
        <x:v>업체 발굴</x:v>
      </x:c>
      <x:c r="C64" s="12" t="str">
        <x:v>배수로 청소 장비</x:v>
      </x:c>
    </x:row>
    <x:row r="65">
      <x:c r="A65" s="12" t="str">
        <x:v>S08</x:v>
      </x:c>
      <x:c r="B65" s="12" t="str">
        <x:v>업체 발굴</x:v>
      </x:c>
      <x:c r="C65" s="12" t="str">
        <x:v>주택관리 장비 B2B</x:v>
      </x:c>
    </x:row>
    <x:row r="66">
      <x:c r="A66" s="12" t="str">
        <x:v>S09</x:v>
      </x:c>
      <x:c r="B66" s="12" t="str">
        <x:v>업체 발굴</x:v>
      </x:c>
      <x:c r="C66" s="12" t="str">
        <x:v>주택용 태양광 인버터 제조</x:v>
      </x:c>
    </x:row>
    <x:row r="67">
      <x:c r="A67" s="12" t="str">
        <x:v>S09</x:v>
      </x:c>
      <x:c r="B67" s="12" t="str">
        <x:v>업체 발굴</x:v>
      </x:c>
      <x:c r="C67" s="12" t="str">
        <x:v>태양광 인버터 국내 제조업체</x:v>
      </x:c>
    </x:row>
    <x:row r="68">
      <x:c r="A68" s="12" t="str">
        <x:v>S09</x:v>
      </x:c>
      <x:c r="B68" s="12" t="str">
        <x:v>업체 발굴</x:v>
      </x:c>
      <x:c r="C68" s="12" t="str">
        <x:v>소형 비상발전기 제조사</x:v>
      </x:c>
    </x:row>
    <x:row r="69">
      <x:c r="A69" s="12" t="str">
        <x:v>S09</x:v>
      </x:c>
      <x:c r="B69" s="12" t="str">
        <x:v>업체 발굴</x:v>
      </x:c>
      <x:c r="C69" s="12" t="str">
        <x:v>비상발전기 공장</x:v>
      </x:c>
    </x:row>
    <x:row r="70">
      <x:c r="A70" s="12" t="str">
        <x:v>S09</x:v>
      </x:c>
      <x:c r="B70" s="12" t="str">
        <x:v>업체 발굴</x:v>
      </x:c>
      <x:c r="C70" s="12" t="str">
        <x:v>가정용 ESS 제조업체</x:v>
      </x:c>
    </x:row>
    <x:row r="71">
      <x:c r="A71" s="12" t="str">
        <x:v>S09</x:v>
      </x:c>
      <x:c r="B71" s="12" t="str">
        <x:v>업체 발굴</x:v>
      </x:c>
      <x:c r="C71" s="12" t="str">
        <x:v>비상전원 배터리 국내</x:v>
      </x:c>
    </x:row>
    <x:row r="72">
      <x:c r="A72" s="12" t="str">
        <x:v>S09</x:v>
      </x:c>
      <x:c r="B72" s="12" t="str">
        <x:v>업체 발굴</x:v>
      </x:c>
      <x:c r="C72" s="12" t="str">
        <x:v>소형 풍력발전기 제조</x:v>
      </x:c>
    </x:row>
    <x:row r="73">
      <x:c r="A73" s="12" t="str">
        <x:v>S09</x:v>
      </x:c>
      <x:c r="B73" s="12" t="str">
        <x:v>업체 발굴</x:v>
      </x:c>
      <x:c r="C73" s="12" t="str">
        <x:v>태양광 대리점 모집</x:v>
      </x:c>
    </x:row>
    <x:row r="74">
      <x:c r="A74" s="12" t="str">
        <x:v>S10</x:v>
      </x:c>
      <x:c r="B74" s="12" t="str">
        <x:v>업체 발굴</x:v>
      </x:c>
      <x:c r="C74" s="12" t="str">
        <x:v>반려견 놀이터 시설 제조</x:v>
      </x:c>
    </x:row>
    <x:row r="75">
      <x:c r="A75" s="12" t="str">
        <x:v>S10</x:v>
      </x:c>
      <x:c r="B75" s="12" t="str">
        <x:v>업체 발굴</x:v>
      </x:c>
      <x:c r="C75" s="12" t="str">
        <x:v>애견 울타리 조경시설</x:v>
      </x:c>
    </x:row>
    <x:row r="76">
      <x:c r="A76" s="12" t="str">
        <x:v>S10</x:v>
      </x:c>
      <x:c r="B76" s="12" t="str">
        <x:v>업체 발굴</x:v>
      </x:c>
      <x:c r="C76" s="12" t="str">
        <x:v>어린이 놀이터 제조업체</x:v>
      </x:c>
    </x:row>
    <x:row r="77">
      <x:c r="A77" s="12" t="str">
        <x:v>S10</x:v>
      </x:c>
      <x:c r="B77" s="12" t="str">
        <x:v>업체 발굴</x:v>
      </x:c>
      <x:c r="C77" s="12" t="str">
        <x:v>조경 놀이시설 공장</x:v>
      </x:c>
    </x:row>
    <x:row r="78">
      <x:c r="A78" s="12" t="str">
        <x:v>S10</x:v>
      </x:c>
      <x:c r="B78" s="12" t="str">
        <x:v>업체 발굴</x:v>
      </x:c>
      <x:c r="C78" s="12" t="str">
        <x:v>모듈형 놀이시설 제조</x:v>
      </x:c>
    </x:row>
    <x:row r="79">
      <x:c r="A79" s="12" t="str">
        <x:v>S10</x:v>
      </x:c>
      <x:c r="B79" s="12" t="str">
        <x:v>업체 발굴</x:v>
      </x:c>
      <x:c r="C79" s="12" t="str">
        <x:v>펫 어질리티 시설 제조</x:v>
      </x:c>
    </x:row>
    <x:row r="80">
      <x:c r="A80" s="12" t="str">
        <x:v>S10</x:v>
      </x:c>
      <x:c r="B80" s="12" t="str">
        <x:v>업체 발굴</x:v>
      </x:c>
      <x:c r="C80" s="12" t="str">
        <x:v>소형 놀이터 시설물</x:v>
      </x:c>
    </x:row>
    <x:row r="81">
      <x:c r="A81" s="12" t="str">
        <x:v>S10</x:v>
      </x:c>
      <x:c r="B81" s="12" t="str">
        <x:v>업체 발굴</x:v>
      </x:c>
      <x:c r="C81" s="12" t="str">
        <x:v>반려동물 시설 조달 제조</x:v>
      </x:c>
    </x:row>
  </x:sheetData>
  <x:pageMargins left="0.7" right="0.7" top="0.75" bottom="0.75" header="0.3" footer="0.3"/>
  <x:tableParts count="1">
    <x:tablePart xmlns:r="http://schemas.openxmlformats.org/officeDocument/2006/relationships" r:id="R63e3e8f033f946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30" hidden="0" customWidth="1"/>
    <x:col min="5" max="5" width="30" hidden="0" customWidth="1"/>
    <x:col min="6" max="6" width="42" hidden="0" customWidth="1"/>
  </x:cols>
  <x:sheetData>
    <x:row r="1">
      <x:c r="A1" s="18" t="str">
        <x:v>평가축</x:v>
      </x:c>
      <x:c r="B1" s="18" t="str">
        <x:v>의미</x:v>
      </x:c>
      <x:c r="C1" s="18" t="str">
        <x:v>GAP 90~100</x:v>
      </x:c>
      <x:c r="D1" s="18" t="str">
        <x:v>GAP 60~80</x:v>
      </x:c>
      <x:c r="E1" s="18" t="str">
        <x:v>GAP 0~50</x:v>
      </x:c>
      <x:c r="F1" s="18" t="str">
        <x:v>RHINORY 활용</x:v>
      </x:c>
    </x:row>
    <x:row r="2">
      <x:c r="A2" s="12" t="str">
        <x:v>검색발견성 GAP</x:v>
      </x:c>
      <x:c r="B2" s="12" t="str">
        <x:v>비브랜드 키워드에서 업체/제품이 얼마나 발견되는가</x:v>
      </x:c>
      <x:c r="C2" s="12" t="str">
        <x:v>브랜드명 외 거의 안 잡힘</x:v>
      </x:c>
      <x:c r="D2" s="12" t="str">
        <x:v>일부 제품 키워드 노출</x:v>
      </x:c>
      <x:c r="E2" s="12" t="str">
        <x:v>다수 비브랜드 검색에 노출</x:v>
      </x:c>
      <x:c r="F2" s="12" t="str">
        <x:v>비교/가격/설치 콘텐츠로 노출 확장</x:v>
      </x:c>
    </x:row>
    <x:row r="3">
      <x:c r="A3" s="12" t="str">
        <x:v>콘텐츠깊이 GAP</x:v>
      </x:c>
      <x:c r="B3" s="12" t="str">
        <x:v>제품 설명 외 정보성 콘텐츠 깊이</x:v>
      </x:c>
      <x:c r="C3" s="12" t="str">
        <x:v>사진+짧은 사양 위주</x:v>
      </x:c>
      <x:c r="D3" s="12" t="str">
        <x:v>기본 소개/시공사례</x:v>
      </x:c>
      <x:c r="E3" s="12" t="str">
        <x:v>가이드/비교/비용/사례 풍부</x:v>
      </x:c>
      <x:c r="F3" s="12" t="str">
        <x:v>RHINORY가 설명·비교 계층 제공</x:v>
      </x:c>
    </x:row>
    <x:row r="4">
      <x:c r="A4" s="12" t="str">
        <x:v>FAQ/답변성 GAP</x:v>
      </x:c>
      <x:c r="B4" s="12" t="str">
        <x:v>사용자 질문에 직접 답하는 구조</x:v>
      </x:c>
      <x:c r="C4" s="12" t="str">
        <x:v>FAQ/질문형 콘텐츠 거의 없음</x:v>
      </x:c>
      <x:c r="D4" s="12" t="str">
        <x:v>문의 페이지/일부 Q&amp;A</x:v>
      </x:c>
      <x:c r="E4" s="12" t="str">
        <x:v>FAQ·How-to·명확한 답변 다수</x:v>
      </x:c>
      <x:c r="F4" s="12" t="str">
        <x:v>AEO용 질문-답변 콘텐츠 생성</x:v>
      </x:c>
    </x:row>
    <x:row r="5">
      <x:c r="A5" s="12" t="str">
        <x:v>구조화 GAP</x:v>
      </x:c>
      <x:c r="B5" s="12" t="str">
        <x:v>제품별 속성·가격·시공조건이 구조화됐는가</x:v>
      </x:c>
      <x:c r="C5" s="12" t="str">
        <x:v>이미지/게시판 중심</x:v>
      </x:c>
      <x:c r="D5" s="12" t="str">
        <x:v>제품 카테고리는 있으나 필드 부족</x:v>
      </x:c>
      <x:c r="E5" s="12" t="str">
        <x:v>제품 속성/스펙/FAQ 구조 우수</x:v>
      </x:c>
      <x:c r="F5" s="12" t="str">
        <x:v>RHINORY DB에서 속성을 표준화</x:v>
      </x:c>
    </x:row>
    <x:row r="6">
      <x:c r="A6" s="12" t="str">
        <x:v>엔티티명확성 GAP</x:v>
      </x:c>
      <x:c r="B6" s="12" t="str">
        <x:v>회사-브랜드-제품-지역-인증 관계가 명확한가</x:v>
      </x:c>
      <x:c r="C6" s="12" t="str">
        <x:v>회사 정체/제품 관계 약함</x:v>
      </x:c>
      <x:c r="D6" s="12" t="str">
        <x:v>회사소개/제품 정도</x:v>
      </x:c>
      <x:c r="E6" s="12" t="str">
        <x:v>인증·제조·AS·실적 명확</x:v>
      </x:c>
      <x:c r="F6" s="12" t="str">
        <x:v>제조사/인증/AS 신뢰 그래프 구축</x:v>
      </x:c>
    </x:row>
    <x:row r="8" ht="62" customHeight="1">
      <x:c r="A8" s="22" t="str">
        <x:v>주의: AEO GAP은 2026-08-13 공개 검색/웹사이트 표면을 빠르게 선별한 1차 기회점수입니다. robots.txt, schema.org, 색인성, LLM 인용률 등을 직접 감사하기 전의 예비값입니다. 높은 점수일수록 RHINORY가 콘텐츠·구조·답변 계층을 대신 만들어 줄 여지가 크다는 뜻입니다.</x:v>
      </x:c>
      <x:c r="B8" s="22"/>
      <x:c r="C8" s="22"/>
      <x:c r="D8" s="22"/>
      <x:c r="E8" s="22"/>
      <x:c r="F8" s="22"/>
    </x:row>
  </x:sheetData>
  <x:mergeCells>
    <x:mergeCell ref="A8:F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6" hidden="0" customWidth="1"/>
    <x:col min="4" max="4" width="44" hidden="0" customWidth="1"/>
    <x:col min="5" max="5" width="28" hidden="0" customWidth="1"/>
    <x:col min="6" max="6" width="18" hidden="0" customWidth="1"/>
  </x:cols>
  <x:sheetData>
    <x:row r="1">
      <x:c r="A1" s="18" t="str">
        <x:v>단계</x:v>
      </x:c>
      <x:c r="B1" s="18" t="str">
        <x:v>작업</x:v>
      </x:c>
      <x:c r="C1" s="18" t="str">
        <x:v>대상</x:v>
      </x:c>
      <x:c r="D1" s="18" t="str">
        <x:v>완료기준</x:v>
      </x:c>
      <x:c r="E1" s="18" t="str">
        <x:v>DB 업데이트</x:v>
      </x:c>
      <x:c r="F1" s="18" t="str">
        <x:v>권장 배치</x:v>
      </x:c>
    </x:row>
    <x:row r="2">
      <x:c r="A2" s="12" t="n">
        <x:v>1</x:v>
      </x:c>
      <x:c r="B2" s="12" t="str">
        <x:v>Priority A 공식사이트 재검증</x:v>
      </x:c>
      <x:c r="C2" s="12" t="str">
        <x:v>A등급 전부</x:v>
      </x:c>
      <x:c r="D2" s="12" t="str">
        <x:v>사업 지속/제품/지역/연락창구 확인</x:v>
      </x:c>
      <x:c r="E2" s="12" t="str">
        <x:v>검증상태, 신뢰도</x:v>
      </x:c>
      <x:c r="F2" s="12" t="str">
        <x:v>20개씩</x:v>
      </x:c>
    </x:row>
    <x:row r="3">
      <x:c r="A3" s="12" t="n">
        <x:v>2</x:v>
      </x:c>
      <x:c r="B3" s="12" t="str">
        <x:v>담당 연락처 수집</x:v>
      </x:c>
      <x:c r="C3" s="12" t="str">
        <x:v>A등급 검증완료</x:v>
      </x:c>
      <x:c r="D3" s="12" t="str">
        <x:v>대표메일/영업메일/전화/문의폼 확보</x:v>
      </x:c>
      <x:c r="E3" s="12" t="str">
        <x:v>Contact 컬럼 추가 예정</x:v>
      </x:c>
      <x:c r="F3" s="12" t="str">
        <x:v>20개씩</x:v>
      </x:c>
    </x:row>
    <x:row r="4">
      <x:c r="A4" s="12" t="n">
        <x:v>3</x:v>
      </x:c>
      <x:c r="B4" s="12" t="str">
        <x:v>공급조건 질문지 발송</x:v>
      </x:c>
      <x:c r="C4" s="12" t="str">
        <x:v>A등급</x:v>
      </x:c>
      <x:c r="D4" s="12" t="str">
        <x:v>공급가·MOQ·직배송·설치·AS·콘텐츠사용</x:v>
      </x:c>
      <x:c r="E4" s="12" t="str">
        <x:v>C-SCORE 추가</x:v>
      </x:c>
      <x:c r="F4" s="12" t="str">
        <x:v>10~20개씩</x:v>
      </x:c>
    </x:row>
    <x:row r="5">
      <x:c r="A5" s="12" t="n">
        <x:v>4</x:v>
      </x:c>
      <x:c r="B5" s="12" t="str">
        <x:v>회신 기반 거래점수</x:v>
      </x:c>
      <x:c r="C5" s="12" t="str">
        <x:v>회신 업체</x:v>
      </x:c>
      <x:c r="D5" s="12" t="str">
        <x:v>위탁/도매/마진/배송/AS 점수화</x:v>
      </x:c>
      <x:c r="E5" s="12" t="str">
        <x:v>최종 100점 체계</x:v>
      </x:c>
      <x:c r="F5" s="12" t="str">
        <x:v>회신 즉시</x:v>
      </x:c>
    </x:row>
    <x:row r="6">
      <x:c r="A6" s="12" t="n">
        <x:v>5</x:v>
      </x:c>
      <x:c r="B6" s="12" t="str">
        <x:v>카테고리 공백 재검색</x:v>
      </x:c>
      <x:c r="C6" s="12" t="str">
        <x:v>업체수 부족군</x:v>
      </x:c>
      <x:c r="D6" s="12" t="str">
        <x:v>군별 최소 15~20 유효업체</x:v>
      </x:c>
      <x:c r="E6" s="12" t="str">
        <x:v>Master DB 누적</x:v>
      </x:c>
      <x:c r="F6" s="12" t="str">
        <x:v>소싱군 단위</x:v>
      </x:c>
    </x:row>
    <x:row r="7">
      <x:c r="A7" s="12" t="n">
        <x:v>6</x:v>
      </x:c>
      <x:c r="B7" s="12" t="str">
        <x:v>AEO 기술감사</x:v>
      </x:c>
      <x:c r="C7" s="12" t="str">
        <x:v>최종 협상 후보</x:v>
      </x:c>
      <x:c r="D7" s="12" t="str">
        <x:v>FAQ/schema/indexability/entity/content 정밀 확인</x:v>
      </x:c>
      <x:c r="E7" s="12" t="str">
        <x:v>AEO GAP 확정</x:v>
      </x:c>
      <x:c r="F7" s="12" t="str">
        <x:v>상위 20~30개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22" hidden="0" customWidth="1"/>
    <x:col min="5" max="5" width="28" hidden="0" customWidth="1"/>
    <x:col min="6" max="6" width="24" hidden="0" customWidth="1"/>
    <x:col min="7" max="7" width="28" hidden="0" customWidth="1"/>
    <x:col min="8" max="8" width="24" hidden="0" customWidth="1"/>
    <x:col min="9" max="9" width="42" hidden="0" customWidth="1"/>
    <x:col min="10" max="10" width="16" hidden="0" customWidth="1"/>
    <x:col min="11" max="11" width="28" hidden="0" customWidth="1"/>
    <x:col min="12" max="12" width="12" hidden="0" customWidth="1"/>
    <x:col min="13" max="13" width="1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55" hidden="0" customWidth="1"/>
    <x:col min="19" max="19" width="48" hidden="0" customWidth="1"/>
    <x:col min="20" max="20" width="13" hidden="0" customWidth="1"/>
  </x:cols>
  <x:sheetData>
    <x:row r="1" ht="36" customHeight="1">
      <x:c r="A1" s="51" t="str">
        <x:v>ID</x:v>
      </x:c>
      <x:c r="B1" s="51" t="str">
        <x:v>업체명</x:v>
      </x:c>
      <x:c r="C1" s="51" t="str">
        <x:v>소싱군</x:v>
      </x:c>
      <x:c r="D1" s="51" t="str">
        <x:v>카테고리</x:v>
      </x:c>
      <x:c r="E1" s="51" t="str">
        <x:v>상품</x:v>
      </x:c>
      <x:c r="F1" s="51" t="str">
        <x:v>전화</x:v>
      </x:c>
      <x:c r="G1" s="51" t="str">
        <x:v>이메일</x:v>
      </x:c>
      <x:c r="H1" s="51" t="str">
        <x:v>접촉방법</x:v>
      </x:c>
      <x:c r="I1" s="51" t="str">
        <x:v>연락처 근거 URL</x:v>
      </x:c>
      <x:c r="J1" s="51" t="str">
        <x:v>근거유형</x:v>
      </x:c>
      <x:c r="K1" s="51" t="str">
        <x:v>검증상태</x:v>
      </x:c>
      <x:c r="L1" s="51" t="str">
        <x:v>Supplier Fit</x:v>
      </x:c>
      <x:c r="M1" s="51" t="str">
        <x:v>멀티카테고리</x:v>
      </x:c>
      <x:c r="N1" s="51" t="str">
        <x:v>AEO 기회점수 v2</x:v>
      </x:c>
      <x:c r="O1" s="51" t="str">
        <x:v>Contact Score</x:v>
      </x:c>
      <x:c r="P1" s="51" t="str">
        <x:v>전략점수 v2</x:v>
      </x:c>
      <x:c r="Q1" s="51" t="str">
        <x:v>영업큐</x:v>
      </x:c>
      <x:c r="R1" s="51" t="str">
        <x:v>AEO 판단근거</x:v>
      </x:c>
      <x:c r="S1" s="51" t="str">
        <x:v>추천 접근각도</x:v>
      </x:c>
      <x:c r="T1" s="51" t="str">
        <x:v>확인일</x:v>
      </x:c>
    </x:row>
    <x:row r="2" ht="46" customHeight="1">
      <x:c r="A2" s="14" t="str">
        <x:v>RHY-006</x:v>
      </x:c>
      <x:c r="B2" s="14" t="str">
        <x:v>신한게이트</x:v>
      </x:c>
      <x:c r="C2" s="14" t="str">
        <x:v>S01</x:v>
      </x:c>
      <x:c r="D2" s="14" t="str">
        <x:v>GATE,BOUNDARY,PARKING</x:v>
      </x:c>
      <x:c r="E2" s="14" t="str">
        <x:v>대문·자동대문·차고문·휀스</x:v>
      </x:c>
      <x:c r="F2" s="14" t="str">
        <x:v>02-525-8288</x:v>
      </x:c>
      <x:c r="G2" s="14" t="str">
        <x:v>shg8288@naver.com</x:v>
      </x:c>
      <x:c r="H2" s="14" t="str">
        <x:v>전화+이메일+온라인견적</x:v>
      </x:c>
      <x:c r="I2" s="14" t="str">
        <x:v>https://shgate.itpage.kr/</x:v>
      </x:c>
      <x:c r="J2" s="14" t="str">
        <x:v>공식</x:v>
      </x:c>
      <x:c r="K2" s="14" t="str">
        <x:v>공식사이트/연락처 확인</x:v>
      </x:c>
      <x:c r="L2" s="14" t="n">
        <x:v>95</x:v>
      </x:c>
      <x:c r="M2" s="14" t="n">
        <x:v>96</x:v>
      </x:c>
      <x:c r="N2" s="14" t="n">
        <x:v>72</x:v>
      </x:c>
      <x:c r="O2" s="14" t="n">
        <x:v>100</x:v>
      </x:c>
      <x:c r="P2" s="14" t="n">
        <x:v>88</x:v>
      </x:c>
      <x:c r="Q2" s="14" t="str">
        <x:v>NOW-1</x:v>
      </x:c>
      <x:c r="R2" s="14" t="str">
        <x:v>시공사례와 견적 Q&amp;A는 충분. 다만 오래된 게시판형 구조이고 가격·비교·선택가이드의 구조화 여지가 큼.</x:v>
      </x:c>
      <x:c r="S2" s="14" t="str">
        <x:v>최우선 멀티카테고리 파트너: 대문+차고문+휀스 묶음</x:v>
      </x:c>
      <x:c r="T2" s="14" t="str">
        <x:v>2026-08-13</x:v>
      </x:c>
    </x:row>
    <x:row r="3" ht="46" customHeight="1">
      <x:c r="A3" s="14" t="str">
        <x:v>RHY-052</x:v>
      </x:c>
      <x:c r="B3" s="14" t="str">
        <x:v>티파니조경</x:v>
      </x:c>
      <x:c r="C3" s="14" t="str">
        <x:v>S05,S10,S03</x:v>
      </x:c>
      <x:c r="D3" s="14" t="str">
        <x:v>OUTDOOR,STORAGE,BUILD</x:v>
      </x:c>
      <x:c r="E3" s="14" t="str">
        <x:v>퍼걸러·벤치·분리수거장·울타리</x:v>
      </x:c>
      <x:c r="F3" s="14" t="str">
        <x:v>010-2446-8482</x:v>
      </x:c>
      <x:c r="G3" s="14" t="str">
        <x:v>tfnland2023@naver.com</x:v>
      </x:c>
      <x:c r="H3" s="14" t="str">
        <x:v>전화+이메일+쇼핑몰</x:v>
      </x:c>
      <x:c r="I3" s="14" t="str">
        <x:v>https://tfnland.co.kr/</x:v>
      </x:c>
      <x:c r="J3" s="14" t="str">
        <x:v>공식</x:v>
      </x:c>
      <x:c r="K3" s="14" t="str">
        <x:v>공식사이트/연락처 확인</x:v>
      </x:c>
      <x:c r="L3" s="14" t="n">
        <x:v>96</x:v>
      </x:c>
      <x:c r="M3" s="14" t="n">
        <x:v>100</x:v>
      </x:c>
      <x:c r="N3" s="14" t="n">
        <x:v>70</x:v>
      </x:c>
      <x:c r="O3" s="14" t="n">
        <x:v>100</x:v>
      </x:c>
      <x:c r="P3" s="14" t="n">
        <x:v>88</x:v>
      </x:c>
      <x:c r="Q3" s="14" t="str">
        <x:v>NOW-1</x:v>
      </x:c>
      <x:c r="R3" s="14" t="str">
        <x:v>제품군·자료실·SNS는 존재. 소비자 질문/비교/설치비 중심 AEO 콘텐츠는 상대적으로 약함.</x:v>
      </x:c>
      <x:c r="S3" s="14" t="str">
        <x:v>최우선 멀티카테고리 제조/시공사 후보</x:v>
      </x:c>
      <x:c r="T3" s="14" t="str">
        <x:v>2026-08-13</x:v>
      </x:c>
    </x:row>
    <x:row r="4" ht="46" customHeight="1">
      <x:c r="A4" s="14" t="str">
        <x:v>RHY-087</x:v>
      </x:c>
      <x:c r="B4" s="14" t="str">
        <x:v>(주)미소조경</x:v>
      </x:c>
      <x:c r="C4" s="14" t="str">
        <x:v>S10</x:v>
      </x:c>
      <x:c r="D4" s="14" t="str">
        <x:v>OUTDOOR,BUILD</x:v>
      </x:c>
      <x:c r="E4" s="14" t="str">
        <x:v>놀이터·분리수거장·휀스</x:v>
      </x:c>
      <x:c r="F4" s="14" t="str">
        <x:v>031-544-9596</x:v>
      </x:c>
      <x:c r="G4" s="14" t="str">
        <x:v>smilemiso1420@nate.com</x:v>
      </x:c>
      <x:c r="H4" s="14" t="str">
        <x:v>전화+이메일+온라인상담</x:v>
      </x:c>
      <x:c r="I4" s="14" t="str">
        <x:v>https://www.smilemiso.net/</x:v>
      </x:c>
      <x:c r="J4" s="14" t="str">
        <x:v>공식</x:v>
      </x:c>
      <x:c r="K4" s="14" t="str">
        <x:v>공식사이트/연락처 확인</x:v>
      </x:c>
      <x:c r="L4" s="14" t="n">
        <x:v>93</x:v>
      </x:c>
      <x:c r="M4" s="14" t="n">
        <x:v>94</x:v>
      </x:c>
      <x:c r="N4" s="14" t="n">
        <x:v>56</x:v>
      </x:c>
      <x:c r="O4" s="14" t="n">
        <x:v>100</x:v>
      </x:c>
      <x:c r="P4" s="14" t="n">
        <x:v>81</x:v>
      </x:c>
      <x:c r="Q4" s="14" t="str">
        <x:v>NOW-2</x:v>
      </x:c>
      <x:c r="R4" s="14" t="str">
        <x:v>시공사례와 FAQ가 이미 존재해 초기 GAP 92는 과대평가. 공급 다품목 가치는 높지만 AEO 우선도는 중간.</x:v>
      </x:c>
      <x:c r="S4" s="14" t="str">
        <x:v>펫/키즈/편의시설 멀티 공급사 후보</x:v>
      </x:c>
      <x:c r="T4" s="14" t="str">
        <x:v>2026-08-13</x:v>
      </x:c>
    </x:row>
    <x:row r="5" ht="46" customHeight="1">
      <x:c r="A5" s="14" t="str">
        <x:v>RHY-059</x:v>
      </x:c>
      <x:c r="B5" s="14" t="str">
        <x:v>수상(수상엔지니어링)</x:v>
      </x:c>
      <x:c r="C5" s="14" t="str">
        <x:v>S06</x:v>
      </x:c>
      <x:c r="D5" s="14" t="str">
        <x:v>WATER</x:v>
      </x:c>
      <x:c r="E5" s="14" t="str">
        <x:v>수영장·사우나·수처리</x:v>
      </x:c>
      <x:c r="F5" s="14" t="str">
        <x:v>02-837-8683~5</x:v>
      </x:c>
      <x:c r="G5" s="14" t="str"/>
      <x:c r="H5" s="14" t="str">
        <x:v>전화+견적문의폼</x:v>
      </x:c>
      <x:c r="I5" s="14" t="str">
        <x:v>https://susang.co.kr/</x:v>
      </x:c>
      <x:c r="J5" s="14" t="str">
        <x:v>공식</x:v>
      </x:c>
      <x:c r="K5" s="14" t="str">
        <x:v>공식사이트/전화/문의폼 확인</x:v>
      </x:c>
      <x:c r="L5" s="14" t="n">
        <x:v>96</x:v>
      </x:c>
      <x:c r="M5" s="14" t="n">
        <x:v>96</x:v>
      </x:c>
      <x:c r="N5" s="14" t="n">
        <x:v>48</x:v>
      </x:c>
      <x:c r="O5" s="14" t="n">
        <x:v>80</x:v>
      </x:c>
      <x:c r="P5" s="14" t="n">
        <x:v>78</x:v>
      </x:c>
      <x:c r="Q5" s="14" t="str">
        <x:v>BENCHMARK</x:v>
      </x:c>
      <x:c r="R5" s="14" t="str">
        <x:v>누적 프로젝트·수영장 설비·기술 설명이 매우 풍부. AEO 약자라기보다 공급력 높은 벤치마크/파트너형.</x:v>
      </x:c>
      <x:c r="S5" s="14" t="str">
        <x:v>WATER/WELLNESS 통합 공급 최우선 후보</x:v>
      </x:c>
      <x:c r="T5" s="14" t="str">
        <x:v>2026-08-13</x:v>
      </x:c>
    </x:row>
    <x:row r="6" ht="46" customHeight="1">
      <x:c r="A6" s="14" t="str">
        <x:v>RHY-064</x:v>
      </x:c>
      <x:c r="B6" s="14" t="str">
        <x:v>솔레노이드 / IRRIWA</x:v>
      </x:c>
      <x:c r="C6" s="14" t="str">
        <x:v>S07</x:v>
      </x:c>
      <x:c r="D6" s="14" t="str">
        <x:v>GARDEN,SMART</x:v>
      </x:c>
      <x:c r="E6" s="14" t="str">
        <x:v>자동관수·관수자재</x:v>
      </x:c>
      <x:c r="F6" s="14" t="str">
        <x:v>031-528-6369</x:v>
      </x:c>
      <x:c r="G6" s="14" t="str">
        <x:v>irriwa0@gmail.com</x:v>
      </x:c>
      <x:c r="H6" s="14" t="str">
        <x:v>전화+이메일+쇼핑몰</x:v>
      </x:c>
      <x:c r="I6" s="14" t="str">
        <x:v>https://irriwa.com/</x:v>
      </x:c>
      <x:c r="J6" s="14" t="str">
        <x:v>공식/공식SNS</x:v>
      </x:c>
      <x:c r="K6" s="14" t="str">
        <x:v>제품/OEM/연락처 확인</x:v>
      </x:c>
      <x:c r="L6" s="14" t="n">
        <x:v>98</x:v>
      </x:c>
      <x:c r="M6" s="14" t="n">
        <x:v>92</x:v>
      </x:c>
      <x:c r="N6" s="14" t="n">
        <x:v>82</x:v>
      </x:c>
      <x:c r="O6" s="14" t="n">
        <x:v>100</x:v>
      </x:c>
      <x:c r="P6" s="14" t="n">
        <x:v>92</x:v>
      </x:c>
      <x:c r="Q6" s="14" t="str">
        <x:v>NOW-1</x:v>
      </x:c>
      <x:c r="R6" s="14" t="str">
        <x:v>맞춤 자동관수 컨트롤러와 지역업체 공급/OEM 근거는 강함. 브랜드/제품 정보가 여러 웹면에 분산되어 엔티티 통합 여지가 큼.</x:v>
      </x:c>
      <x:c r="S6" s="14" t="str">
        <x:v>제품력+AEO공백 모두 큼. RHINORY 핵심 후보</x:v>
      </x:c>
      <x:c r="T6" s="14" t="str">
        <x:v>2026-08-13</x:v>
      </x:c>
    </x:row>
    <x:row r="7" ht="46" customHeight="1">
      <x:c r="A7" s="14" t="str">
        <x:v>RHY-044</x:v>
      </x:c>
      <x:c r="B7" s="14" t="str">
        <x:v>(주)스마트합성데크</x:v>
      </x:c>
      <x:c r="C7" s="14" t="str">
        <x:v>S05</x:v>
      </x:c>
      <x:c r="D7" s="14" t="str">
        <x:v>OUTDOOR,BOUNDARY</x:v>
      </x:c>
      <x:c r="E7" s="14" t="str">
        <x:v>합성데크·휀스</x:v>
      </x:c>
      <x:c r="F7" s="14" t="str">
        <x:v>031-963-6205~6</x:v>
      </x:c>
      <x:c r="G7" s="14" t="str">
        <x:v>smartwpc@hanmail.net</x:v>
      </x:c>
      <x:c r="H7" s="14" t="str">
        <x:v>전화+이메일</x:v>
      </x:c>
      <x:c r="I7" s="14" t="str">
        <x:v>https://www.smartwpc.co.kr/</x:v>
      </x:c>
      <x:c r="J7" s="14" t="str">
        <x:v>공식</x:v>
      </x:c>
      <x:c r="K7" s="14" t="str">
        <x:v>공식사이트/연락처 확인</x:v>
      </x:c>
      <x:c r="L7" s="14" t="n">
        <x:v>96</x:v>
      </x:c>
      <x:c r="M7" s="14" t="n">
        <x:v>94</x:v>
      </x:c>
      <x:c r="N7" s="14" t="n">
        <x:v>82</x:v>
      </x:c>
      <x:c r="O7" s="14" t="n">
        <x:v>100</x:v>
      </x:c>
      <x:c r="P7" s="14" t="n">
        <x:v>91</x:v>
      </x:c>
      <x:c r="Q7" s="14" t="str">
        <x:v>NOW-1</x:v>
      </x:c>
      <x:c r="R7" s="14" t="str">
        <x:v>국내 제조와 제품력은 명확하나 사이트가 제조사 중심. 주택 소비자용 비용·비교·시공조건 답변층을 RHINORY가 만들 가치가 큼.</x:v>
      </x:c>
      <x:c r="S7" s="14" t="str">
        <x:v>AEO 공백 대비 제품력 강함: 최우선 제조 파트너 후보</x:v>
      </x:c>
      <x:c r="T7" s="14" t="str">
        <x:v>2026-08-13</x:v>
      </x:c>
    </x:row>
    <x:row r="8" ht="46" customHeight="1">
      <x:c r="A8" s="14" t="str">
        <x:v>RHY-048</x:v>
      </x:c>
      <x:c r="B8" s="14" t="str">
        <x:v>(주)S합성데크</x:v>
      </x:c>
      <x:c r="C8" s="14" t="str">
        <x:v>S05</x:v>
      </x:c>
      <x:c r="D8" s="14" t="str">
        <x:v>OUTDOOR</x:v>
      </x:c>
      <x:c r="E8" s="14" t="str">
        <x:v>합성데크·휀스</x:v>
      </x:c>
      <x:c r="F8" s="14" t="str">
        <x:v>053-657-1969</x:v>
      </x:c>
      <x:c r="G8" s="14" t="str">
        <x:v>scpdeck@gmail.com</x:v>
      </x:c>
      <x:c r="H8" s="14" t="str">
        <x:v>전화+이메일+블로그</x:v>
      </x:c>
      <x:c r="I8" s="14" t="str">
        <x:v>https://sdeck.co.kr/</x:v>
      </x:c>
      <x:c r="J8" s="14" t="str">
        <x:v>공식</x:v>
      </x:c>
      <x:c r="K8" s="14" t="str">
        <x:v>공식사이트/연락처/최근사례 확인</x:v>
      </x:c>
      <x:c r="L8" s="14" t="n">
        <x:v>92</x:v>
      </x:c>
      <x:c r="M8" s="14" t="n">
        <x:v>86</x:v>
      </x:c>
      <x:c r="N8" s="14" t="n">
        <x:v>68</x:v>
      </x:c>
      <x:c r="O8" s="14" t="n">
        <x:v>100</x:v>
      </x:c>
      <x:c r="P8" s="14" t="n">
        <x:v>84</x:v>
      </x:c>
      <x:c r="Q8" s="14" t="str">
        <x:v>NOW-1</x:v>
      </x:c>
      <x:c r="R8" s="14" t="str">
        <x:v>최근 주택 시공사례 콘텐츠가 활발하여 초기 GAP 92는 하향. FAQ·가격·재료비교 구조화는 여전히 부족.</x:v>
      </x:c>
      <x:c r="S8" s="14" t="str">
        <x:v>AEO 공백 큰 제조/시공사 후보</x:v>
      </x:c>
      <x:c r="T8" s="14" t="str">
        <x:v>2026-08-13</x:v>
      </x:c>
    </x:row>
    <x:row r="9" ht="46" customHeight="1">
      <x:c r="A9" s="14" t="str">
        <x:v>RHY-054</x:v>
      </x:c>
      <x:c r="B9" s="14" t="str">
        <x:v>주식회사 큐</x:v>
      </x:c>
      <x:c r="C9" s="14" t="str">
        <x:v>S05,S10,S03</x:v>
      </x:c>
      <x:c r="D9" s="14" t="str">
        <x:v>OUTDOOR,BUILD</x:v>
      </x:c>
      <x:c r="E9" s="14" t="str">
        <x:v>퍼걸러·놀이·부스·컨테이너</x:v>
      </x:c>
      <x:c r="F9" s="14" t="str">
        <x:v>033-458-2313</x:v>
      </x:c>
      <x:c r="G9" s="14" t="str">
        <x:v>corporationq@naver.com</x:v>
      </x:c>
      <x:c r="H9" s="14" t="str">
        <x:v>전화+이메일+견적문의</x:v>
      </x:c>
      <x:c r="I9" s="14" t="str">
        <x:v>https://q22.co.kr/</x:v>
      </x:c>
      <x:c r="J9" s="14" t="str">
        <x:v>공식</x:v>
      </x:c>
      <x:c r="K9" s="14" t="str">
        <x:v>공식사이트/연락처 확인</x:v>
      </x:c>
      <x:c r="L9" s="14" t="n">
        <x:v>95</x:v>
      </x:c>
      <x:c r="M9" s="14" t="n">
        <x:v>96</x:v>
      </x:c>
      <x:c r="N9" s="14" t="n">
        <x:v>62</x:v>
      </x:c>
      <x:c r="O9" s="14" t="n">
        <x:v>100</x:v>
      </x:c>
      <x:c r="P9" s="14" t="n">
        <x:v>84</x:v>
      </x:c>
      <x:c r="Q9" s="14" t="str">
        <x:v>NOW-1</x:v>
      </x:c>
      <x:c r="R9" s="14" t="str">
        <x:v>제품 스펙/규격이 비교적 구조화. AEO 공백보다 퍼걸러·놀이·부스·컨테이너 다품목 공급력이 핵심.</x:v>
      </x:c>
      <x:c r="S9" s="14" t="str">
        <x:v>RHINORY 여러 카테고리 일괄 공급 협상 후보</x:v>
      </x:c>
      <x:c r="T9" s="14" t="str">
        <x:v>2026-08-13</x:v>
      </x:c>
    </x:row>
    <x:row r="10" ht="46" customHeight="1">
      <x:c r="A10" s="14" t="str">
        <x:v>RHY-060</x:v>
      </x:c>
      <x:c r="B10" s="14" t="str">
        <x:v>한도아쿠아</x:v>
      </x:c>
      <x:c r="C10" s="14" t="str">
        <x:v>S06</x:v>
      </x:c>
      <x:c r="D10" s="14" t="str">
        <x:v>WATER</x:v>
      </x:c>
      <x:c r="E10" s="14" t="str">
        <x:v>수영장 여과·펌프·열교환</x:v>
      </x:c>
      <x:c r="F10" s="14" t="str">
        <x:v>051-315-8454~5 / 02-487-8454</x:v>
      </x:c>
      <x:c r="G10" s="14" t="str">
        <x:v>jeff.handoaqua@gmail.com</x:v>
      </x:c>
      <x:c r="H10" s="14" t="str">
        <x:v>전화+견적문의폼</x:v>
      </x:c>
      <x:c r="I10" s="14" t="str">
        <x:v>https://www.handoaqua.com/</x:v>
      </x:c>
      <x:c r="J10" s="14" t="str">
        <x:v>공식+공식SNS</x:v>
      </x:c>
      <x:c r="K10" s="14" t="str">
        <x:v>공식사이트/전화/문의폼 확인; 이메일은 공식SNS</x:v>
      </x:c>
      <x:c r="L10" s="14" t="n">
        <x:v>95</x:v>
      </x:c>
      <x:c r="M10" s="14" t="n">
        <x:v>80</x:v>
      </x:c>
      <x:c r="N10" s="14" t="n">
        <x:v>58</x:v>
      </x:c>
      <x:c r="O10" s="14" t="n">
        <x:v>100</x:v>
      </x:c>
      <x:c r="P10" s="14" t="n">
        <x:v>80</x:v>
      </x:c>
      <x:c r="Q10" s="14" t="str">
        <x:v>NOW-2</x:v>
      </x:c>
      <x:c r="R10" s="14" t="str">
        <x:v>전국 판매/A/S와 제품·견적 구조가 확인됨. 공급력은 높지만 AEO 극약체는 아님.</x:v>
      </x:c>
      <x:c r="S10" s="14" t="str">
        <x:v>수영장 유지관리 부품/장비 공급 파트너</x:v>
      </x:c>
      <x:c r="T10" s="14" t="str">
        <x:v>2026-08-13</x:v>
      </x:c>
    </x:row>
    <x:row r="11" ht="46" customHeight="1">
      <x:c r="A11" s="14" t="str">
        <x:v>RHY-047</x:v>
      </x:c>
      <x:c r="B11" s="14" t="str">
        <x:v>(주)유에스씨</x:v>
      </x:c>
      <x:c r="C11" s="14" t="str">
        <x:v>S05</x:v>
      </x:c>
      <x:c r="D11" s="14" t="str">
        <x:v>OUTDOOR,BUILD</x:v>
      </x:c>
      <x:c r="E11" s="14" t="str">
        <x:v>합성목재·데크·사이딩</x:v>
      </x:c>
      <x:c r="F11" s="14" t="str">
        <x:v>032-715-8120 / 032-715-8183</x:v>
      </x:c>
      <x:c r="G11" s="14" t="str">
        <x:v>sales@uscgroup.co.kr</x:v>
      </x:c>
      <x:c r="H11" s="14" t="str">
        <x:v>전화+이메일</x:v>
      </x:c>
      <x:c r="I11" s="14" t="str">
        <x:v>https://www.uscjk.co.kr/</x:v>
      </x:c>
      <x:c r="J11" s="14" t="str">
        <x:v>공식</x:v>
      </x:c>
      <x:c r="K11" s="14" t="str">
        <x:v>공식사이트/연락처 확인</x:v>
      </x:c>
      <x:c r="L11" s="14" t="n">
        <x:v>92</x:v>
      </x:c>
      <x:c r="M11" s="14" t="n">
        <x:v>92</x:v>
      </x:c>
      <x:c r="N11" s="14" t="n">
        <x:v>65</x:v>
      </x:c>
      <x:c r="O11" s="14" t="n">
        <x:v>100</x:v>
      </x:c>
      <x:c r="P11" s="14" t="n">
        <x:v>83</x:v>
      </x:c>
      <x:c r="Q11" s="14" t="str">
        <x:v>NOW-1</x:v>
      </x:c>
      <x:c r="R11" s="14" t="str">
        <x:v>합성목재·데크·사이딩·난간 제조/유통 정보는 명확. 소비자 문제형/비교형 콘텐츠는 확장 가능.</x:v>
      </x:c>
      <x:c r="S11" s="14" t="str">
        <x:v>데크+사이딩+난간 묶음 공급 파트너</x:v>
      </x:c>
      <x:c r="T11" s="14" t="str">
        <x:v>2026-08-13</x:v>
      </x:c>
    </x:row>
    <x:row r="12" ht="46" customHeight="1">
      <x:c r="A12" s="14" t="str">
        <x:v>RHY-041</x:v>
      </x:c>
      <x:c r="B12" s="14" t="str">
        <x:v>우성테크</x:v>
      </x:c>
      <x:c r="C12" s="14" t="str">
        <x:v>S05</x:v>
      </x:c>
      <x:c r="D12" s="14" t="str">
        <x:v>OUTDOOR</x:v>
      </x:c>
      <x:c r="E12" s="14" t="str">
        <x:v>어닝</x:v>
      </x:c>
      <x:c r="F12" s="14" t="str">
        <x:v>02-941-0609</x:v>
      </x:c>
      <x:c r="G12" s="14" t="str">
        <x:v>pamireawning@gmail.com</x:v>
      </x:c>
      <x:c r="H12" s="14" t="str">
        <x:v>전화+이메일</x:v>
      </x:c>
      <x:c r="I12" s="14" t="str">
        <x:v>http://www.ws-tech.co.kr/</x:v>
      </x:c>
      <x:c r="J12" s="14" t="str">
        <x:v>공식/협력사 교차확인</x:v>
      </x:c>
      <x:c r="K12" s="14" t="str">
        <x:v>업체·연락처 교차확인</x:v>
      </x:c>
      <x:c r="L12" s="14" t="n">
        <x:v>94</x:v>
      </x:c>
      <x:c r="M12" s="14" t="n">
        <x:v>70</x:v>
      </x:c>
      <x:c r="N12" s="14" t="n">
        <x:v>90</x:v>
      </x:c>
      <x:c r="O12" s="14" t="n">
        <x:v>100</x:v>
      </x:c>
      <x:c r="P12" s="14" t="n">
        <x:v>90</x:v>
      </x:c>
      <x:c r="Q12" s="14" t="str">
        <x:v>NOW-1</x:v>
      </x:c>
      <x:c r="R12" s="14" t="str">
        <x:v>1993년부터 어닝 제작 전문이라는 실체는 강하지만 웹 검색/콘텐츠/구조화는 매우 약함. RHINORY가 프론트 역할하기 좋은 전형적 후보.</x:v>
      </x:c>
      <x:c r="S12" s="14" t="str">
        <x:v>AEO 공백 큰 전형적 제조사 후보: RHINORY가 콘텐츠/브랜드 프론트 제공</x:v>
      </x:c>
      <x:c r="T12" s="14" t="str">
        <x:v>2026-08-13</x:v>
      </x:c>
    </x:row>
    <x:row r="13" ht="46" customHeight="1">
      <x:c r="A13" s="14" t="str">
        <x:v>RHY-056</x:v>
      </x:c>
      <x:c r="B13" s="14" t="str">
        <x:v>워터케이</x:v>
      </x:c>
      <x:c r="C13" s="14" t="str">
        <x:v>S06</x:v>
      </x:c>
      <x:c r="D13" s="14" t="str">
        <x:v>WATER</x:v>
      </x:c>
      <x:c r="E13" s="14" t="str">
        <x:v>수영장·수처리</x:v>
      </x:c>
      <x:c r="F13" s="14" t="str">
        <x:v>031-411-7445 / 031-403-7445</x:v>
      </x:c>
      <x:c r="G13" s="14" t="str">
        <x:v>waterk7445@naver.com</x:v>
      </x:c>
      <x:c r="H13" s="14" t="str">
        <x:v>전화+이메일+온라인문의</x:v>
      </x:c>
      <x:c r="I13" s="14" t="str">
        <x:v>https://waterk.co.kr/</x:v>
      </x:c>
      <x:c r="J13" s="14" t="str">
        <x:v>공식</x:v>
      </x:c>
      <x:c r="K13" s="14" t="str">
        <x:v>공식사이트/연락처 확인</x:v>
      </x:c>
      <x:c r="L13" s="14" t="n">
        <x:v>94</x:v>
      </x:c>
      <x:c r="M13" s="14" t="n">
        <x:v>80</x:v>
      </x:c>
      <x:c r="N13" s="14" t="n">
        <x:v>62</x:v>
      </x:c>
      <x:c r="O13" s="14" t="n">
        <x:v>100</x:v>
      </x:c>
      <x:c r="P13" s="14" t="n">
        <x:v>81</x:v>
      </x:c>
      <x:c r="Q13" s="14" t="str">
        <x:v>NOW-2</x:v>
      </x:c>
      <x:c r="R13" s="14" t="str">
        <x:v>수영장 설비 질문에 직접 답하는 콘텐츠가 존재. 다만 가격/규모별 패키지/유지비 구조화는 확장 여지.</x:v>
      </x:c>
      <x:c r="S13" s="14" t="str">
        <x:v>전원주택 수영장 표준패키지/견적 리드 파트너</x:v>
      </x:c>
      <x:c r="T13" s="14" t="str">
        <x:v>2026-08-13</x:v>
      </x:c>
    </x:row>
    <x:row r="14" ht="46" customHeight="1">
      <x:c r="A14" s="14" t="str">
        <x:v>RHY-086</x:v>
      </x:c>
      <x:c r="B14" s="14" t="str">
        <x:v>에코랜드</x:v>
      </x:c>
      <x:c r="C14" s="14" t="str">
        <x:v>S10</x:v>
      </x:c>
      <x:c r="D14" s="14" t="str">
        <x:v>OUTDOOR,BUILD</x:v>
      </x:c>
      <x:c r="E14" s="14" t="str">
        <x:v>반려동물 놀이터시설</x:v>
      </x:c>
      <x:c r="F14" s="14" t="str">
        <x:v>031-403-7071</x:v>
      </x:c>
      <x:c r="G14" s="14" t="str">
        <x:v>srs2002@empas.com</x:v>
      </x:c>
      <x:c r="H14" s="14" t="str">
        <x:v>전화+이메일</x:v>
      </x:c>
      <x:c r="I14" s="14" t="str">
        <x:v>https://eco-land.kr/</x:v>
      </x:c>
      <x:c r="J14" s="14" t="str">
        <x:v>공식</x:v>
      </x:c>
      <x:c r="K14" s="14" t="str">
        <x:v>공식사이트/연락처/활동 확인</x:v>
      </x:c>
      <x:c r="L14" s="14" t="n">
        <x:v>94</x:v>
      </x:c>
      <x:c r="M14" s="14" t="n">
        <x:v>82</x:v>
      </x:c>
      <x:c r="N14" s="14" t="n">
        <x:v>65</x:v>
      </x:c>
      <x:c r="O14" s="14" t="n">
        <x:v>100</x:v>
      </x:c>
      <x:c r="P14" s="14" t="n">
        <x:v>83</x:v>
      </x:c>
      <x:c r="Q14" s="14" t="str">
        <x:v>NOW-1</x:v>
      </x:c>
      <x:c r="R14" s="14" t="str">
        <x:v>반려동물 놀이터 등 제품 페이지와 최근 공지가 있음. 주택용 소형 패키지/가격/설치조건 콘텐츠는 약함.</x:v>
      </x:c>
      <x:c r="S14" s="14" t="str">
        <x:v>전원주택용 미니 펫놀이터 패키지로 재구성</x:v>
      </x:c>
      <x:c r="T14" s="14" t="str">
        <x:v>2026-08-13</x:v>
      </x:c>
    </x:row>
    <x:row r="15" ht="46" customHeight="1">
      <x:c r="A15" s="14" t="str">
        <x:v>RHY-027</x:v>
      </x:c>
      <x:c r="B15" s="14" t="str">
        <x:v>우성코리아</x:v>
      </x:c>
      <x:c r="C15" s="14" t="str">
        <x:v>S03</x:v>
      </x:c>
      <x:c r="D15" s="14" t="str">
        <x:v>STORAGE</x:v>
      </x:c>
      <x:c r="E15" s="14" t="str">
        <x:v>우편함·택배함</x:v>
      </x:c>
      <x:c r="F15" s="14" t="str">
        <x:v>02-927-2016~7</x:v>
      </x:c>
      <x:c r="G15" s="14" t="str">
        <x:v>9535736@hanmail.net</x:v>
      </x:c>
      <x:c r="H15" s="14" t="str">
        <x:v>전화+이메일</x:v>
      </x:c>
      <x:c r="I15" s="14" t="str">
        <x:v>http://woosungkorea.co.kr/</x:v>
      </x:c>
      <x:c r="J15" s="14" t="str">
        <x:v>공식</x:v>
      </x:c>
      <x:c r="K15" s="14" t="str">
        <x:v>공식사이트/연락처 확인</x:v>
      </x:c>
      <x:c r="L15" s="14" t="n">
        <x:v>90</x:v>
      </x:c>
      <x:c r="M15" s="14" t="n">
        <x:v>70</x:v>
      </x:c>
      <x:c r="N15" s="14" t="n">
        <x:v>88</x:v>
      </x:c>
      <x:c r="O15" s="14" t="n">
        <x:v>100</x:v>
      </x:c>
      <x:c r="P15" s="14" t="n">
        <x:v>87</x:v>
      </x:c>
      <x:c r="Q15" s="14" t="str">
        <x:v>NOW-1</x:v>
      </x:c>
      <x:c r="R15" s="14" t="str">
        <x:v>맞춤 우편함/택배함 직접 제조 성격은 강하나 검색/콘텐츠 층이 빈약. 단독주택용 상품을 RHINORY가 재구성하기 좋음.</x:v>
      </x:c>
      <x:c r="S15" s="14" t="str">
        <x:v>단독주택 디자인 우편함/택배함으로 시장 확장 제안</x:v>
      </x:c>
      <x:c r="T15" s="14" t="str">
        <x:v>2026-08-13</x:v>
      </x:c>
    </x:row>
    <x:row r="16" ht="46" customHeight="1">
      <x:c r="A16" s="14" t="str">
        <x:v>RHY-043</x:v>
      </x:c>
      <x:c r="B16" s="14" t="str">
        <x:v>(주)주원창호</x:v>
      </x:c>
      <x:c r="C16" s="14" t="str">
        <x:v>S05</x:v>
      </x:c>
      <x:c r="D16" s="14" t="str">
        <x:v>OUTDOOR</x:v>
      </x:c>
      <x:c r="E16" s="14" t="str">
        <x:v>어닝 부속·차양</x:v>
      </x:c>
      <x:c r="F16" s="14" t="str">
        <x:v>031-997-7426</x:v>
      </x:c>
      <x:c r="G16" s="14" t="str">
        <x:v>juwonjd@naver.com</x:v>
      </x:c>
      <x:c r="H16" s="14" t="str">
        <x:v>전화+이메일+FAQ</x:v>
      </x:c>
      <x:c r="I16" s="14" t="str">
        <x:v>https://juwonchangho.com/</x:v>
      </x:c>
      <x:c r="J16" s="14" t="str">
        <x:v>공식</x:v>
      </x:c>
      <x:c r="K16" s="14" t="str">
        <x:v>공식사이트/연락처 확인</x:v>
      </x:c>
      <x:c r="L16" s="14" t="n">
        <x:v>95</x:v>
      </x:c>
      <x:c r="M16" s="14" t="n">
        <x:v>74</x:v>
      </x:c>
      <x:c r="N16" s="14" t="n">
        <x:v>64</x:v>
      </x:c>
      <x:c r="O16" s="14" t="n">
        <x:v>100</x:v>
      </x:c>
      <x:c r="P16" s="14" t="n">
        <x:v>82</x:v>
      </x:c>
      <x:c r="Q16" s="14" t="str">
        <x:v>NOW-1</x:v>
      </x:c>
      <x:c r="R16" s="14" t="str">
        <x:v>장기 제조 경력과 FAQ가 존재. OEM/완제품 공급 관점은 좋지만 AEO 공백은 중간.</x:v>
      </x:c>
      <x:c r="S16" s="14" t="str">
        <x:v>완제품/OEM 가능성 확인 가치 높음</x:v>
      </x:c>
      <x:c r="T16" s="14" t="str">
        <x:v>2026-08-13</x:v>
      </x:c>
    </x:row>
    <x:row r="17" ht="46" customHeight="1">
      <x:c r="A17" s="14" t="str">
        <x:v>RHY-045</x:v>
      </x:c>
      <x:c r="B17" s="14" t="str">
        <x:v>지티에스</x:v>
      </x:c>
      <x:c r="C17" s="14" t="str">
        <x:v>S05</x:v>
      </x:c>
      <x:c r="D17" s="14" t="str">
        <x:v>OUTDOOR</x:v>
      </x:c>
      <x:c r="E17" s="14" t="str">
        <x:v>합성목재·데크</x:v>
      </x:c>
      <x:c r="F17" s="14" t="str">
        <x:v>033-345-9087</x:v>
      </x:c>
      <x:c r="G17" s="14" t="str">
        <x:v>zts3117@naver.com</x:v>
      </x:c>
      <x:c r="H17" s="14" t="str">
        <x:v>전화+이메일</x:v>
      </x:c>
      <x:c r="I17" s="14" t="str">
        <x:v>https://zts.kr/</x:v>
      </x:c>
      <x:c r="J17" s="14" t="str">
        <x:v>공식</x:v>
      </x:c>
      <x:c r="K17" s="14" t="str">
        <x:v>공식사이트/연락처 확인</x:v>
      </x:c>
      <x:c r="L17" s="14" t="n">
        <x:v>94</x:v>
      </x:c>
      <x:c r="M17" s="14" t="n">
        <x:v>78</x:v>
      </x:c>
      <x:c r="N17" s="14" t="n">
        <x:v>63</x:v>
      </x:c>
      <x:c r="O17" s="14" t="n">
        <x:v>100</x:v>
      </x:c>
      <x:c r="P17" s="14" t="n">
        <x:v>81</x:v>
      </x:c>
      <x:c r="Q17" s="14" t="str">
        <x:v>NOW-2</x:v>
      </x:c>
      <x:c r="R17" s="14" t="str">
        <x:v>직접 제조·인증·설계/수량산출/배송/시공 정보가 비교적 명확. 비교/가격 콘텐츠 확장 여지는 남음.</x:v>
      </x:c>
      <x:c r="S17" s="14" t="str">
        <x:v>데크재 공급가/OEM/전국 배송 조건 확인</x:v>
      </x:c>
      <x:c r="T17" s="14" t="str">
        <x:v>2026-08-13</x:v>
      </x:c>
    </x:row>
    <x:row r="18" ht="46" customHeight="1">
      <x:c r="A18" s="14" t="str">
        <x:v>RHY-070</x:v>
      </x:c>
      <x:c r="B18" s="14" t="str">
        <x:v>상인농자재</x:v>
      </x:c>
      <x:c r="C18" s="14" t="str">
        <x:v>S07</x:v>
      </x:c>
      <x:c r="D18" s="14" t="str">
        <x:v>GARDEN</x:v>
      </x:c>
      <x:c r="E18" s="14" t="str">
        <x:v>관수자재</x:v>
      </x:c>
      <x:c r="F18" s="14" t="str">
        <x:v>054-975-2454 / 010-2018-5224</x:v>
      </x:c>
      <x:c r="G18" s="14" t="str">
        <x:v>sanginmart@naver.com</x:v>
      </x:c>
      <x:c r="H18" s="14" t="str">
        <x:v>전화+이메일+쇼핑몰Q&amp;A</x:v>
      </x:c>
      <x:c r="I18" s="14" t="str">
        <x:v>https://sanginmart.com/</x:v>
      </x:c>
      <x:c r="J18" s="14" t="str">
        <x:v>공식</x:v>
      </x:c>
      <x:c r="K18" s="14" t="str">
        <x:v>공식사이트/연락처 확인</x:v>
      </x:c>
      <x:c r="L18" s="14" t="n">
        <x:v>90</x:v>
      </x:c>
      <x:c r="M18" s="14" t="n">
        <x:v>72</x:v>
      </x:c>
      <x:c r="N18" s="14" t="n">
        <x:v>60</x:v>
      </x:c>
      <x:c r="O18" s="14" t="n">
        <x:v>100</x:v>
      </x:c>
      <x:c r="P18" s="14" t="n">
        <x:v>78</x:v>
      </x:c>
      <x:c r="Q18" s="14" t="str">
        <x:v>NOW-2</x:v>
      </x:c>
      <x:c r="R18" s="14" t="str">
        <x:v>상품가격·쇼핑몰·FAQ/Q&amp;A가 이미 존재해 초기 GAP 92는 크게 하향. 도매/묶음 공급가치는 별도 평가.</x:v>
      </x:c>
      <x:c r="S18" s="14" t="str">
        <x:v>저가/중가 관수자재 묶음 공급처</x:v>
      </x:c>
      <x:c r="T18" s="14" t="str">
        <x:v>2026-08-13</x:v>
      </x:c>
    </x:row>
    <x:row r="19" ht="46" customHeight="1">
      <x:c r="A19" s="14" t="str">
        <x:v>RHY-074</x:v>
      </x:c>
      <x:c r="B19" s="14" t="str">
        <x:v>성보하이드로엔지니어링</x:v>
      </x:c>
      <x:c r="C19" s="14" t="str">
        <x:v>S08</x:v>
      </x:c>
      <x:c r="D19" s="14" t="str">
        <x:v>MAINTENANCE</x:v>
      </x:c>
      <x:c r="E19" s="14" t="str">
        <x:v>산업용 고압세척기</x:v>
      </x:c>
      <x:c r="F19" s="14" t="str">
        <x:v>02-2694-7881</x:v>
      </x:c>
      <x:c r="G19" s="14" t="str">
        <x:v>sungbo@sungbohe.co.kr</x:v>
      </x:c>
      <x:c r="H19" s="14" t="str">
        <x:v>전화+이메일+A/S</x:v>
      </x:c>
      <x:c r="I19" s="14" t="str">
        <x:v>https://sungbohe.co.kr/</x:v>
      </x:c>
      <x:c r="J19" s="14" t="str">
        <x:v>공식</x:v>
      </x:c>
      <x:c r="K19" s="14" t="str">
        <x:v>공식사이트/연락처 확인</x:v>
      </x:c>
      <x:c r="L19" s="14" t="n">
        <x:v>97</x:v>
      </x:c>
      <x:c r="M19" s="14" t="n">
        <x:v>72</x:v>
      </x:c>
      <x:c r="N19" s="14" t="n">
        <x:v>66</x:v>
      </x:c>
      <x:c r="O19" s="14" t="n">
        <x:v>100</x:v>
      </x:c>
      <x:c r="P19" s="14" t="n">
        <x:v>83</x:v>
      </x:c>
      <x:c r="Q19" s="14" t="str">
        <x:v>NOW-1</x:v>
      </x:c>
      <x:c r="R19" s="14" t="str">
        <x:v>직접 설계/제작과 구매·A/S 채널은 강함. 주택 소비자용 사용상황/선택가이드가 약해 전환 여지.</x:v>
      </x:c>
      <x:c r="S19" s="14" t="str">
        <x:v>제품력 강하고 AEO 공백 큼. 주택관리용 라인 다운셀 협의</x:v>
      </x:c>
      <x:c r="T19" s="14" t="str">
        <x:v>2026-08-13</x:v>
      </x:c>
    </x:row>
    <x:row r="20" ht="46" customHeight="1">
      <x:c r="A20" s="14" t="str">
        <x:v>RHY-089</x:v>
      </x:c>
      <x:c r="B20" s="14" t="str">
        <x:v>(주)드림필</x:v>
      </x:c>
      <x:c r="C20" s="14" t="str">
        <x:v>S10</x:v>
      </x:c>
      <x:c r="D20" s="14" t="str">
        <x:v>OUTDOOR,BUILD</x:v>
      </x:c>
      <x:c r="E20" s="14" t="str">
        <x:v>어린이놀이·휴게시설</x:v>
      </x:c>
      <x:c r="F20" s="14" t="str">
        <x:v>055-266-1456</x:v>
      </x:c>
      <x:c r="G20" s="14" t="str">
        <x:v>df2006@daum.net</x:v>
      </x:c>
      <x:c r="H20" s="14" t="str">
        <x:v>전화+이메일</x:v>
      </x:c>
      <x:c r="I20" s="14" t="str">
        <x:v>https://www.dfland.co.kr/</x:v>
      </x:c>
      <x:c r="J20" s="14" t="str">
        <x:v>공식</x:v>
      </x:c>
      <x:c r="K20" s="14" t="str">
        <x:v>공식사이트/연락처 확인</x:v>
      </x:c>
      <x:c r="L20" s="14" t="n">
        <x:v>91</x:v>
      </x:c>
      <x:c r="M20" s="14" t="n">
        <x:v>82</x:v>
      </x:c>
      <x:c r="N20" s="14" t="n">
        <x:v>75</x:v>
      </x:c>
      <x:c r="O20" s="14" t="n">
        <x:v>100</x:v>
      </x:c>
      <x:c r="P20" s="14" t="n">
        <x:v>85</x:v>
      </x:c>
      <x:c r="Q20" s="14" t="str">
        <x:v>NOW-1</x:v>
      </x:c>
      <x:c r="R20" s="14" t="str">
        <x:v>제품군은 확인되나 소비자용 콘텐츠/FAQ/비용 정보는 약함. 가정용 소형 놀이시설로 재포지셔닝 가치.</x:v>
      </x:c>
      <x:c r="S20" s="14" t="str">
        <x:v>마당형 소형 놀이시설 상품화 가능성 문의</x:v>
      </x:c>
      <x:c r="T20" s="14" t="str">
        <x:v>2026-08-13</x:v>
      </x:c>
    </x:row>
    <x:row r="21" ht="46" customHeight="1">
      <x:c r="A21" s="14" t="str">
        <x:v>RHY-003</x:v>
      </x:c>
      <x:c r="B21" s="14" t="str">
        <x:v>세움휀스개발</x:v>
      </x:c>
      <x:c r="C21" s="14" t="str">
        <x:v>S01</x:v>
      </x:c>
      <x:c r="D21" s="14" t="str">
        <x:v>BOUNDARY,GATE</x:v>
      </x:c>
      <x:c r="E21" s="14" t="str">
        <x:v>휀스 자재·시공</x:v>
      </x:c>
      <x:c r="F21" s="14" t="str">
        <x:v>031-691-5055 / 010-9270-5055</x:v>
      </x:c>
      <x:c r="G21" s="14" t="str">
        <x:v>seumfence@naver.com</x:v>
      </x:c>
      <x:c r="H21" s="14" t="str">
        <x:v>전화+이메일</x:v>
      </x:c>
      <x:c r="I21" s="14" t="str">
        <x:v>https://www.seumfence.co.kr/</x:v>
      </x:c>
      <x:c r="J21" s="14" t="str">
        <x:v>공식</x:v>
      </x:c>
      <x:c r="K21" s="14" t="str">
        <x:v>공식사이트/연락처 확인</x:v>
      </x:c>
      <x:c r="L21" s="14" t="n">
        <x:v>91</x:v>
      </x:c>
      <x:c r="M21" s="14" t="n">
        <x:v>76</x:v>
      </x:c>
      <x:c r="N21" s="14" t="n">
        <x:v>76</x:v>
      </x:c>
      <x:c r="O21" s="14" t="n">
        <x:v>100</x:v>
      </x:c>
      <x:c r="P21" s="14" t="n">
        <x:v>84</x:v>
      </x:c>
      <x:c r="Q21" s="14" t="str">
        <x:v>NOW-1</x:v>
      </x:c>
      <x:c r="R21" s="14" t="str">
        <x:v>전국 자재납품·시공 실체는 명확. B2B 중심이라 주택 소비자 질문/가격/비교 정보가 상대적으로 약함.</x:v>
      </x:c>
      <x:c r="S21" s="14" t="str">
        <x:v>B2B 시공업체를 B2C 전원주택 리드로 연결</x:v>
      </x:c>
      <x:c r="T21" s="14" t="str">
        <x:v>2026-08-13</x:v>
      </x:c>
    </x:row>
    <x:row r="22" ht="46" customHeight="1">
      <x:c r="A22" s="14" t="str">
        <x:v>RHY-009</x:v>
      </x:c>
      <x:c r="B22" s="14" t="str">
        <x:v>세우메쉬</x:v>
      </x:c>
      <x:c r="C22" s="14" t="str">
        <x:v>S01</x:v>
      </x:c>
      <x:c r="D22" s="14" t="str">
        <x:v>BOUNDARY,GATE</x:v>
      </x:c>
      <x:c r="E22" s="14" t="str">
        <x:v>디자인휀스·대문</x:v>
      </x:c>
      <x:c r="F22" s="14" t="str">
        <x:v>031-221-0651</x:v>
      </x:c>
      <x:c r="G22" s="14" t="str">
        <x:v>2210651@naver.com</x:v>
      </x:c>
      <x:c r="H22" s="14" t="str">
        <x:v>전화+이메일</x:v>
      </x:c>
      <x:c r="I22" s="14" t="str">
        <x:v>https://www.seawoomesh.co.kr/</x:v>
      </x:c>
      <x:c r="J22" s="14" t="str">
        <x:v>공식</x:v>
      </x:c>
      <x:c r="K22" s="14" t="str">
        <x:v>공식사이트/연락처 확인</x:v>
      </x:c>
      <x:c r="L22" s="14" t="n">
        <x:v>87</x:v>
      </x:c>
      <x:c r="M22" s="14" t="n">
        <x:v>74</x:v>
      </x:c>
      <x:c r="N22" s="14" t="n">
        <x:v>88</x:v>
      </x:c>
      <x:c r="O22" s="14" t="n">
        <x:v>100</x:v>
      </x:c>
      <x:c r="P22" s="14" t="n">
        <x:v>87</x:v>
      </x:c>
      <x:c r="Q22" s="14" t="str">
        <x:v>NOW-1</x:v>
      </x:c>
      <x:c r="R22" s="14" t="str">
        <x:v>제품은 다양하지만 구형 게시판/제품 페이지 중심. 설명·FAQ·가격·설치의 구조화 공백이 큼.</x:v>
      </x:c>
      <x:c r="S22" s="14" t="str">
        <x:v>낡은 제품 페이지를 RHINORY에서 소비자 친화적으로 재가공</x:v>
      </x:c>
      <x:c r="T22" s="14" t="str">
        <x:v>2026-08-13</x:v>
      </x:c>
    </x:row>
    <x:row r="23" ht="46" customHeight="1">
      <x:c r="A23" s="14" t="str">
        <x:v>RHY-010</x:v>
      </x:c>
      <x:c r="B23" s="14" t="str">
        <x:v>의정부휀스울타리</x:v>
      </x:c>
      <x:c r="C23" s="14" t="str">
        <x:v>S01</x:v>
      </x:c>
      <x:c r="D23" s="14" t="str">
        <x:v>BOUNDARY</x:v>
      </x:c>
      <x:c r="E23" s="14" t="str">
        <x:v>메쉬·디자인목재휀스</x:v>
      </x:c>
      <x:c r="F23" s="14" t="str">
        <x:v>031-852-6395 / 010-8098-0470</x:v>
      </x:c>
      <x:c r="G23" s="14" t="str"/>
      <x:c r="H23" s="14" t="str">
        <x:v>전화</x:v>
      </x:c>
      <x:c r="I23" s="14" t="str">
        <x:v>https://ilsin04.co.kr/base/fence/ujbfence/01.php?com_board_category_code=c1</x:v>
      </x:c>
      <x:c r="J23" s="14" t="str">
        <x:v>공식</x:v>
      </x:c>
      <x:c r="K23" s="14" t="str">
        <x:v>공식사이트/전화 확인</x:v>
      </x:c>
      <x:c r="L23" s="14" t="n">
        <x:v>85</x:v>
      </x:c>
      <x:c r="M23" s="14" t="n">
        <x:v>76</x:v>
      </x:c>
      <x:c r="N23" s="14" t="n">
        <x:v>90</x:v>
      </x:c>
      <x:c r="O23" s="14" t="n">
        <x:v>65</x:v>
      </x:c>
      <x:c r="P23" s="14" t="n">
        <x:v>83</x:v>
      </x:c>
      <x:c r="Q23" s="14" t="str">
        <x:v>NOW-2</x:v>
      </x:c>
      <x:c r="R23" s="14" t="str">
        <x:v>지역 시공/자재 실체는 있으나 브랜드·콘텐츠·답변형 페이지가 매우 약함. 지역 리드형 파트너에 적합.</x:v>
      </x:c>
      <x:c r="S23" s="14" t="str">
        <x:v>지역 시공사 네트워크 후보 + 표준 견적 콘텐츠</x:v>
      </x:c>
      <x:c r="T23" s="14" t="str">
        <x:v>2026-08-13</x:v>
      </x:c>
    </x:row>
    <x:row r="24" ht="46" customHeight="1">
      <x:c r="A24" s="14" t="str">
        <x:v>RHY-026</x:v>
      </x:c>
      <x:c r="B24" s="14" t="str">
        <x:v>아이포스트</x:v>
      </x:c>
      <x:c r="C24" s="14" t="str">
        <x:v>S03</x:v>
      </x:c>
      <x:c r="D24" s="14" t="str">
        <x:v>STORAGE</x:v>
      </x:c>
      <x:c r="E24" s="14" t="str">
        <x:v>우편함·택배보관함</x:v>
      </x:c>
      <x:c r="F24" s="14" t="str">
        <x:v>1522-8266 / 031-637-7374</x:v>
      </x:c>
      <x:c r="G24" s="14" t="str">
        <x:v>ehwa@ipost.or.kr</x:v>
      </x:c>
      <x:c r="H24" s="14" t="str">
        <x:v>전화+이메일+문의</x:v>
      </x:c>
      <x:c r="I24" s="14" t="str">
        <x:v>https://ipostehwa.co.kr/</x:v>
      </x:c>
      <x:c r="J24" s="14" t="str">
        <x:v>공식</x:v>
      </x:c>
      <x:c r="K24" s="14" t="str">
        <x:v>공식사이트/연락처 확인</x:v>
      </x:c>
      <x:c r="L24" s="14" t="n">
        <x:v>94</x:v>
      </x:c>
      <x:c r="M24" s="14" t="n">
        <x:v>72</x:v>
      </x:c>
      <x:c r="N24" s="14" t="n">
        <x:v>60</x:v>
      </x:c>
      <x:c r="O24" s="14" t="n">
        <x:v>100</x:v>
      </x:c>
      <x:c r="P24" s="14" t="n">
        <x:v>79</x:v>
      </x:c>
      <x:c r="Q24" s="14" t="str">
        <x:v>NOW-2</x:v>
      </x:c>
      <x:c r="R24" s="14" t="str">
        <x:v>제품/시공사례가 지속적으로 축적되어 초기평가보다 웹역량이 좋음. 단독주택용 SKU/OEM 가치가 핵심.</x:v>
      </x:c>
      <x:c r="S24" s="14" t="str">
        <x:v>RHINORY 전용 디자인 택배함/OEM 가능성 최우선 확인</x:v>
      </x:c>
      <x:c r="T24" s="14" t="str">
        <x:v>2026-08-13</x:v>
      </x:c>
    </x:row>
    <x:row r="25" ht="46" customHeight="1">
      <x:c r="A25" s="14" t="str">
        <x:v>RHY-032</x:v>
      </x:c>
      <x:c r="B25" s="14" t="str">
        <x:v>베스트디지탈</x:v>
      </x:c>
      <x:c r="C25" s="14" t="str">
        <x:v>S04</x:v>
      </x:c>
      <x:c r="D25" s="14" t="str">
        <x:v>SECURITY</x:v>
      </x:c>
      <x:c r="E25" s="14" t="str">
        <x:v>CCTV·NVR</x:v>
      </x:c>
      <x:c r="F25" s="14" t="str">
        <x:v>031-427-4660</x:v>
      </x:c>
      <x:c r="G25" s="14" t="str">
        <x:v>csh@bdvr.co.kr</x:v>
      </x:c>
      <x:c r="H25" s="14" t="str">
        <x:v>전화+이메일</x:v>
      </x:c>
      <x:c r="I25" s="14" t="str">
        <x:v>https://www.bdvr.co.kr/</x:v>
      </x:c>
      <x:c r="J25" s="14" t="str">
        <x:v>공식</x:v>
      </x:c>
      <x:c r="K25" s="14" t="str">
        <x:v>공식사이트/연락처 확인</x:v>
      </x:c>
      <x:c r="L25" s="14" t="n">
        <x:v>94</x:v>
      </x:c>
      <x:c r="M25" s="14" t="n">
        <x:v>72</x:v>
      </x:c>
      <x:c r="N25" s="14" t="n">
        <x:v>61</x:v>
      </x:c>
      <x:c r="O25" s="14" t="n">
        <x:v>100</x:v>
      </x:c>
      <x:c r="P25" s="14" t="n">
        <x:v>80</x:v>
      </x:c>
      <x:c r="Q25" s="14" t="str">
        <x:v>NOW-2</x:v>
      </x:c>
      <x:c r="R25" s="14" t="str">
        <x:v>R&amp;D 제조사와 제품군은 명확. B2B 기술정보를 주택 소비자 패키지로 번역하는 기회가 있음.</x:v>
      </x:c>
      <x:c r="S25" s="14" t="str">
        <x:v>주택용 CCTV 패키지 + 소비자 설명 콘텐츠 공동화</x:v>
      </x:c>
      <x:c r="T25" s="14" t="str">
        <x:v>2026-08-13</x:v>
      </x:c>
    </x:row>
    <x:row r="26" ht="46" customHeight="1">
      <x:c r="A26" s="14" t="str">
        <x:v>RHY-062</x:v>
      </x:c>
      <x:c r="B26" s="14" t="str">
        <x:v>사우나월드</x:v>
      </x:c>
      <x:c r="C26" s="14" t="str">
        <x:v>S06</x:v>
      </x:c>
      <x:c r="D26" s="14" t="str">
        <x:v>WATER,OUTDOOR</x:v>
      </x:c>
      <x:c r="E26" s="14" t="str">
        <x:v>가정용 사우나캐빈</x:v>
      </x:c>
      <x:c r="F26" s="14" t="str">
        <x:v>031-767-6489</x:v>
      </x:c>
      <x:c r="G26" s="14" t="str">
        <x:v>saunaworld@naver.com</x:v>
      </x:c>
      <x:c r="H26" s="14" t="str">
        <x:v>전화+이메일</x:v>
      </x:c>
      <x:c r="I26" s="14" t="str">
        <x:v>https://www.saunaworld.co.kr/</x:v>
      </x:c>
      <x:c r="J26" s="14" t="str">
        <x:v>공식</x:v>
      </x:c>
      <x:c r="K26" s="14" t="str">
        <x:v>공식사이트/연락처 확인</x:v>
      </x:c>
      <x:c r="L26" s="14" t="n">
        <x:v>94</x:v>
      </x:c>
      <x:c r="M26" s="14" t="n">
        <x:v>70</x:v>
      </x:c>
      <x:c r="N26" s="14" t="n">
        <x:v>72</x:v>
      </x:c>
      <x:c r="O26" s="14" t="n">
        <x:v>100</x:v>
      </x:c>
      <x:c r="P26" s="14" t="n">
        <x:v>83</x:v>
      </x:c>
      <x:c r="Q26" s="14" t="str">
        <x:v>NOW-1</x:v>
      </x:c>
      <x:c r="R26" s="14" t="str">
        <x:v>국내 제작과 제품 설명은 존재. 설치조건·유지비·공간별 추천·비교 콘텐츠는 확장 여지가 큼.</x:v>
      </x:c>
      <x:c r="S26" s="14" t="str">
        <x:v>전원주택 웰니스 고마진 상품으로 우선 검토</x:v>
      </x:c>
      <x:c r="T26" s="14" t="str">
        <x:v>2026-08-13</x:v>
      </x:c>
    </x:row>
    <x:row r="27" ht="46" customHeight="1">
      <x:c r="A27" s="14" t="str">
        <x:v>RHY-075</x:v>
      </x:c>
      <x:c r="B27" s="14" t="str">
        <x:v>(주)한국고압세척기</x:v>
      </x:c>
      <x:c r="C27" s="14" t="str">
        <x:v>S08</x:v>
      </x:c>
      <x:c r="D27" s="14" t="str">
        <x:v>MAINTENANCE</x:v>
      </x:c>
      <x:c r="E27" s="14" t="str">
        <x:v>고압세척기·스팀청소</x:v>
      </x:c>
      <x:c r="F27" s="14" t="str">
        <x:v>032-677-2633</x:v>
      </x:c>
      <x:c r="G27" s="14" t="str">
        <x:v>korhppm@naver.com</x:v>
      </x:c>
      <x:c r="H27" s="14" t="str">
        <x:v>전화+이메일</x:v>
      </x:c>
      <x:c r="I27" s="14" t="str">
        <x:v>https://xn--299alkqt522dowe5smqnp.com/</x:v>
      </x:c>
      <x:c r="J27" s="14" t="str">
        <x:v>공식</x:v>
      </x:c>
      <x:c r="K27" s="14" t="str">
        <x:v>공식사이트/연락처/콘텐츠공백 확인</x:v>
      </x:c>
      <x:c r="L27" s="14" t="n">
        <x:v>90</x:v>
      </x:c>
      <x:c r="M27" s="14" t="n">
        <x:v>65</x:v>
      </x:c>
      <x:c r="N27" s="14" t="n">
        <x:v>95</x:v>
      </x:c>
      <x:c r="O27" s="14" t="n">
        <x:v>100</x:v>
      </x:c>
      <x:c r="P27" s="14" t="n">
        <x:v>89</x:v>
      </x:c>
      <x:c r="Q27" s="14" t="str">
        <x:v>NOW-1</x:v>
      </x:c>
      <x:c r="R27" s="14" t="str">
        <x:v>제조업체 실체와 연락처는 강한데 일부 제품/뉴스 영역이 비어 있는 등 웹 콘텐츠 공백이 매우 큼. AEO-first 최상위 후보.</x:v>
      </x:c>
      <x:c r="S27" s="14" t="str">
        <x:v>공식사이트/소형제품 확인 후 AEO형 유통 제안</x:v>
      </x:c>
      <x:c r="T27" s="14" t="str">
        <x:v>2026-08-13</x:v>
      </x:c>
    </x:row>
    <x:row r="28" ht="46" customHeight="1">
      <x:c r="A28" s="14" t="str">
        <x:v>RHY-088</x:v>
      </x:c>
      <x:c r="B28" s="14" t="str">
        <x:v>한국조경건설</x:v>
      </x:c>
      <x:c r="C28" s="14" t="str">
        <x:v>S10</x:v>
      </x:c>
      <x:c r="D28" s="14" t="str">
        <x:v>OUTDOOR,BUILD</x:v>
      </x:c>
      <x:c r="E28" s="14" t="str">
        <x:v>어린이놀이시설</x:v>
      </x:c>
      <x:c r="F28" s="14" t="str">
        <x:v>032-563-9264</x:v>
      </x:c>
      <x:c r="G28" s="14" t="str">
        <x:v>hkland1@naver.com</x:v>
      </x:c>
      <x:c r="H28" s="14" t="str">
        <x:v>전화+이메일</x:v>
      </x:c>
      <x:c r="I28" s="14" t="str">
        <x:v>https://www.hkland.co.kr/</x:v>
      </x:c>
      <x:c r="J28" s="14" t="str">
        <x:v>공식</x:v>
      </x:c>
      <x:c r="K28" s="14" t="str">
        <x:v>공식사이트/연락처 확인</x:v>
      </x:c>
      <x:c r="L28" s="14" t="n">
        <x:v>91</x:v>
      </x:c>
      <x:c r="M28" s="14" t="n">
        <x:v>76</x:v>
      </x:c>
      <x:c r="N28" s="14" t="n">
        <x:v>72</x:v>
      </x:c>
      <x:c r="O28" s="14" t="n">
        <x:v>100</x:v>
      </x:c>
      <x:c r="P28" s="14" t="n">
        <x:v>83</x:v>
      </x:c>
      <x:c r="Q28" s="14" t="str">
        <x:v>NOW-1</x:v>
      </x:c>
      <x:c r="R28" s="14" t="str">
        <x:v>놀이/조경 제조·설치 정보는 있으나 주택용 소형 상품·가격·안전기준 설명 콘텐츠는 약함.</x:v>
      </x:c>
      <x:c r="S28" s="14" t="str">
        <x:v>주택용 소형 놀이시설 라인 가능성 확인</x:v>
      </x:c>
      <x:c r="T28" s="14" t="str">
        <x:v>2026-08-13</x:v>
      </x:c>
    </x:row>
    <x:row r="29" ht="46" customHeight="1">
      <x:c r="A29" s="14" t="str">
        <x:v>RHY-005</x:v>
      </x:c>
      <x:c r="B29" s="14" t="str">
        <x:v>아라게이트</x:v>
      </x:c>
      <x:c r="C29" s="14" t="str">
        <x:v>S01</x:v>
      </x:c>
      <x:c r="D29" s="14" t="str">
        <x:v>GATE</x:v>
      </x:c>
      <x:c r="E29" s="14" t="str">
        <x:v>자동대문·프리미엄대문</x:v>
      </x:c>
      <x:c r="F29" s="14" t="str">
        <x:v>010-8019-0405</x:v>
      </x:c>
      <x:c r="G29" s="14" t="str">
        <x:v>cyj7701@naver.com</x:v>
      </x:c>
      <x:c r="H29" s="14" t="str">
        <x:v>전화+이메일+FAQ</x:v>
      </x:c>
      <x:c r="I29" s="14" t="str">
        <x:v>https://xn--vk1b2p40pcxn.com/</x:v>
      </x:c>
      <x:c r="J29" s="14" t="str">
        <x:v>공식</x:v>
      </x:c>
      <x:c r="K29" s="14" t="str">
        <x:v>공식사이트/연락처/FAQ 확인</x:v>
      </x:c>
      <x:c r="L29" s="14" t="n">
        <x:v>94</x:v>
      </x:c>
      <x:c r="M29" s="14" t="n">
        <x:v>68</x:v>
      </x:c>
      <x:c r="N29" s="14" t="n">
        <x:v>57</x:v>
      </x:c>
      <x:c r="O29" s="14" t="n">
        <x:v>100</x:v>
      </x:c>
      <x:c r="P29" s="14" t="n">
        <x:v>78</x:v>
      </x:c>
      <x:c r="Q29" s="14" t="str">
        <x:v>NOW-2</x:v>
      </x:c>
      <x:c r="R29" s="14" t="str">
        <x:v>자주묻는질문과 제품 페이지가 있어 초기 GAP 84는 과대평가. 직접제작/설치 공급력은 여전히 높음.</x:v>
      </x:c>
      <x:c r="S29" s="14" t="str">
        <x:v>자동대문 가격·옵션을 표준화해 RHINORY 견적리드 공급</x:v>
      </x:c>
      <x:c r="T29" s="14" t="str">
        <x:v>2026-08-13</x:v>
      </x:c>
    </x:row>
    <x:row r="30" ht="46" customHeight="1">
      <x:c r="A30" s="14" t="str">
        <x:v>RHY-081</x:v>
      </x:c>
      <x:c r="B30" s="14" t="str">
        <x:v>이스트파워</x:v>
      </x:c>
      <x:c r="C30" s="14" t="str">
        <x:v>S09</x:v>
      </x:c>
      <x:c r="D30" s="14" t="str">
        <x:v>POWER</x:v>
      </x:c>
      <x:c r="E30" s="14" t="str">
        <x:v>비상발전기</x:v>
      </x:c>
      <x:c r="F30" s="14" t="str">
        <x:v>031-943-3541</x:v>
      </x:c>
      <x:c r="G30" s="14" t="str">
        <x:v>eastpwr@eastpower.co.kr</x:v>
      </x:c>
      <x:c r="H30" s="14" t="str">
        <x:v>전화+이메일</x:v>
      </x:c>
      <x:c r="I30" s="14" t="str">
        <x:v>https://eastpower.co.kr/</x:v>
      </x:c>
      <x:c r="J30" s="14" t="str">
        <x:v>공식</x:v>
      </x:c>
      <x:c r="K30" s="14" t="str">
        <x:v>공식사이트/연락처 확인</x:v>
      </x:c>
      <x:c r="L30" s="14" t="n">
        <x:v>94</x:v>
      </x:c>
      <x:c r="M30" s="14" t="n">
        <x:v>66</x:v>
      </x:c>
      <x:c r="N30" s="14" t="n">
        <x:v>58</x:v>
      </x:c>
      <x:c r="O30" s="14" t="n">
        <x:v>100</x:v>
      </x:c>
      <x:c r="P30" s="14" t="n">
        <x:v>78</x:v>
      </x:c>
      <x:c r="Q30" s="14" t="str">
        <x:v>NOW-2</x:v>
      </x:c>
      <x:c r="R30" s="14" t="str">
        <x:v>발전기 설계/제조·기술/기업 실체가 잘 드러남. 주택용 소형 모델이 있으면 공급 제휴 가치, AEO 우선도는 중간 이하.</x:v>
      </x:c>
      <x:c r="S30" s="14" t="str">
        <x:v>전원주택 비상전원 소형화 가능성 문의</x:v>
      </x:c>
      <x:c r="T30" s="14" t="str">
        <x:v>2026-08-13</x:v>
      </x:c>
    </x:row>
    <x:row r="31" ht="46" customHeight="1">
      <x:c r="A31" s="14" t="str">
        <x:v>RHY-008</x:v>
      </x:c>
      <x:c r="B31" s="14" t="str">
        <x:v>KJ게이트 / 금전금속</x:v>
      </x:c>
      <x:c r="C31" s="14" t="str">
        <x:v>S01</x:v>
      </x:c>
      <x:c r="D31" s="14" t="str">
        <x:v>GATE</x:v>
      </x:c>
      <x:c r="E31" s="14" t="str">
        <x:v>맞춤대문·휀스</x:v>
      </x:c>
      <x:c r="F31" s="14" t="str">
        <x:v>031-992-2300 / 010-7578-2502</x:v>
      </x:c>
      <x:c r="G31" s="14" t="str">
        <x:v>onerio@daum.net</x:v>
      </x:c>
      <x:c r="H31" s="14" t="str">
        <x:v>전화+이메일</x:v>
      </x:c>
      <x:c r="I31" s="14" t="str">
        <x:v>https://kjgate.co.kr/</x:v>
      </x:c>
      <x:c r="J31" s="14" t="str">
        <x:v>공식</x:v>
      </x:c>
      <x:c r="K31" s="14" t="str">
        <x:v>공식사이트/연락처 확인</x:v>
      </x:c>
      <x:c r="L31" s="14" t="n">
        <x:v>90</x:v>
      </x:c>
      <x:c r="M31" s="14" t="n">
        <x:v>72</x:v>
      </x:c>
      <x:c r="N31" s="14" t="n">
        <x:v>66</x:v>
      </x:c>
      <x:c r="O31" s="14" t="n">
        <x:v>100</x:v>
      </x:c>
      <x:c r="P31" s="14" t="n">
        <x:v>80</x:v>
      </x:c>
      <x:c r="Q31" s="14" t="str">
        <x:v>NOW-2</x:v>
      </x:c>
      <x:c r="R31" s="14" t="str">
        <x:v>맞춤 디자인 대문 제품은 확인되지만 소비자 가이드/비용/자동화 비교층은 약함.</x:v>
      </x:c>
      <x:c r="S31" s="14" t="str">
        <x:v>디자인 대문 컬렉션화 + 맞춤견적 연결</x:v>
      </x:c>
      <x:c r="T31" s="14" t="str">
        <x:v>2026-08-13</x:v>
      </x:c>
    </x:row>
    <x:row r="32" ht="46" customHeight="1">
      <x:c r="A32" s="14" t="str">
        <x:v>RHY-024</x:v>
      </x:c>
      <x:c r="B32" s="14" t="str">
        <x:v>KDS</x:v>
      </x:c>
      <x:c r="C32" s="14" t="str">
        <x:v>S03</x:v>
      </x:c>
      <x:c r="D32" s="14" t="str">
        <x:v>STORAGE,SMART</x:v>
      </x:c>
      <x:c r="E32" s="14" t="str">
        <x:v>무인택배시스템</x:v>
      </x:c>
      <x:c r="F32" s="14" t="str">
        <x:v>02-778-6920</x:v>
      </x:c>
      <x:c r="G32" s="14" t="str">
        <x:v>joys@k-d-s.co.kr</x:v>
      </x:c>
      <x:c r="H32" s="14" t="str">
        <x:v>전화+이메일</x:v>
      </x:c>
      <x:c r="I32" s="14" t="str">
        <x:v>https://k-d-s.co.kr/</x:v>
      </x:c>
      <x:c r="J32" s="14" t="str">
        <x:v>공식</x:v>
      </x:c>
      <x:c r="K32" s="14" t="str">
        <x:v>공식사이트/연락처 확인</x:v>
      </x:c>
      <x:c r="L32" s="14" t="n">
        <x:v>91</x:v>
      </x:c>
      <x:c r="M32" s="14" t="n">
        <x:v>70</x:v>
      </x:c>
      <x:c r="N32" s="14" t="n">
        <x:v>70</x:v>
      </x:c>
      <x:c r="O32" s="14" t="n">
        <x:v>100</x:v>
      </x:c>
      <x:c r="P32" s="14" t="n">
        <x:v>81</x:v>
      </x:c>
      <x:c r="Q32" s="14" t="str">
        <x:v>NOW-2</x:v>
      </x:c>
      <x:c r="R32" s="14" t="str">
        <x:v>무인택배 시스템 제품은 명확. 단독주택/소규모용 문제 해결형 콘텐츠와 가격 구조가 부족.</x:v>
      </x:c>
      <x:c r="S32" s="14" t="str">
        <x:v>1~수세대용 미니 택배함 라인 전환 가능성 문의</x:v>
      </x:c>
      <x:c r="T32" s="14" t="str">
        <x:v>2026-08-13</x:v>
      </x:c>
    </x:row>
    <x:row r="33" ht="46" customHeight="1">
      <x:c r="A33" s="14" t="str">
        <x:v>RHY-030</x:v>
      </x:c>
      <x:c r="B33" s="14" t="str">
        <x:v>(주)아름철강</x:v>
      </x:c>
      <x:c r="C33" s="14" t="str">
        <x:v>S03</x:v>
      </x:c>
      <x:c r="D33" s="14" t="str">
        <x:v>STORAGE,BUILD</x:v>
      </x:c>
      <x:c r="E33" s="14" t="str">
        <x:v>조립식창고·경량철골</x:v>
      </x:c>
      <x:c r="F33" s="14" t="str">
        <x:v>031-554-3323</x:v>
      </x:c>
      <x:c r="G33" s="14" t="str">
        <x:v>arst@daum.net</x:v>
      </x:c>
      <x:c r="H33" s="14" t="str">
        <x:v>영업부 전화+이메일</x:v>
      </x:c>
      <x:c r="I33" s="14" t="str">
        <x:v>https://www.arst.co.kr/</x:v>
      </x:c>
      <x:c r="J33" s="14" t="str">
        <x:v>공식 검색색인</x:v>
      </x:c>
      <x:c r="K33" s="14" t="str">
        <x:v>공식 검색색인/연락처 확인; 웹접속 이슈 관찰</x:v>
      </x:c>
      <x:c r="L33" s="14" t="n">
        <x:v>88</x:v>
      </x:c>
      <x:c r="M33" s="14" t="n">
        <x:v>76</x:v>
      </x:c>
      <x:c r="N33" s="14" t="n">
        <x:v>76</x:v>
      </x:c>
      <x:c r="O33" s="14" t="n">
        <x:v>100</x:v>
      </x:c>
      <x:c r="P33" s="14" t="n">
        <x:v>83</x:v>
      </x:c>
      <x:c r="Q33" s="14" t="str">
        <x:v>NOW-1</x:v>
      </x:c>
      <x:c r="R33" s="14" t="str">
        <x:v>경량철골 생산·시공실적은 풍부하지만 현재 HTTPS 접속에서 403이 관찰됨. 검색/AI 가시성 개선 여지가 큼.</x:v>
      </x:c>
      <x:c r="S33" s="14" t="str">
        <x:v>중대형 창고/차고 견적형 상품으로 전환</x:v>
      </x:c>
      <x:c r="T33" s="14" t="str">
        <x:v>2026-08-13</x:v>
      </x:c>
    </x:row>
    <x:row r="34" ht="46" customHeight="1">
      <x:c r="A34" s="14" t="str">
        <x:v>RHY-051</x:v>
      </x:c>
      <x:c r="B34" s="14" t="str">
        <x:v>리스퀘어</x:v>
      </x:c>
      <x:c r="C34" s="14" t="str">
        <x:v>S05</x:v>
      </x:c>
      <x:c r="D34" s="14" t="str">
        <x:v>OUTDOOR</x:v>
      </x:c>
      <x:c r="E34" s="14" t="str">
        <x:v>아웃도어키친</x:v>
      </x:c>
      <x:c r="F34" s="14" t="str">
        <x:v>1600-7601</x:v>
      </x:c>
      <x:c r="G34" s="14" t="str">
        <x:v>16007601@lisquare.co.kr</x:v>
      </x:c>
      <x:c r="H34" s="14" t="str">
        <x:v>전화+이메일+예약상담</x:v>
      </x:c>
      <x:c r="I34" s="14" t="str">
        <x:v>https://lisquare.co.kr/direction</x:v>
      </x:c>
      <x:c r="J34" s="14" t="str">
        <x:v>공식</x:v>
      </x:c>
      <x:c r="K34" s="14" t="str">
        <x:v>공식사이트/연락처 확인</x:v>
      </x:c>
      <x:c r="L34" s="14" t="n">
        <x:v>92</x:v>
      </x:c>
      <x:c r="M34" s="14" t="n">
        <x:v>68</x:v>
      </x:c>
      <x:c r="N34" s="14" t="n">
        <x:v>42</x:v>
      </x:c>
      <x:c r="O34" s="14" t="n">
        <x:v>100</x:v>
      </x:c>
      <x:c r="P34" s="14" t="n">
        <x:v>72</x:v>
      </x:c>
      <x:c r="Q34" s="14" t="str">
        <x:v>BENCHMARK</x:v>
      </x:c>
      <x:c r="R34" s="14" t="str">
        <x:v>프리미엄 브랜드 사이트, 모델 상세, 프로젝트, 쇼룸/문의 구조가 매우 잘 되어 있음. AEO 공백 타깃보다는 고급상품 벤치마크.</x:v>
      </x:c>
      <x:c r="S34" s="14" t="str">
        <x:v>고객 로망형 고가상품: RHINORY 견적/콘텐츠에 적합</x:v>
      </x:c>
      <x:c r="T34" s="14" t="str">
        <x:v>2026-08-13</x:v>
      </x:c>
    </x:row>
    <x:row r="35" ht="46" customHeight="1">
      <x:c r="A35" s="14" t="str">
        <x:v>RHY-058</x:v>
      </x:c>
      <x:c r="B35" s="14" t="str">
        <x:v>뉴트랜드</x:v>
      </x:c>
      <x:c r="C35" s="14" t="str">
        <x:v>S06</x:v>
      </x:c>
      <x:c r="D35" s="14" t="str">
        <x:v>WATER</x:v>
      </x:c>
      <x:c r="E35" s="14" t="str">
        <x:v>조립식/상업 수영장</x:v>
      </x:c>
      <x:c r="F35" s="14" t="str">
        <x:v>02-3452-9111</x:v>
      </x:c>
      <x:c r="G35" s="14" t="str">
        <x:v>newtrend94@naver.com</x:v>
      </x:c>
      <x:c r="H35" s="14" t="str">
        <x:v>전화+이메일</x:v>
      </x:c>
      <x:c r="I35" s="14" t="str">
        <x:v>https://newtrend.co.kr/default/company/03.php?sub=5&amp;top=1</x:v>
      </x:c>
      <x:c r="J35" s="14" t="str">
        <x:v>공식</x:v>
      </x:c>
      <x:c r="K35" s="14" t="str">
        <x:v>공식사이트/연락처 확인</x:v>
      </x:c>
      <x:c r="L35" s="14" t="n">
        <x:v>90</x:v>
      </x:c>
      <x:c r="M35" s="14" t="n">
        <x:v>72</x:v>
      </x:c>
      <x:c r="N35" s="14" t="n">
        <x:v>52</x:v>
      </x:c>
      <x:c r="O35" s="14" t="n">
        <x:v>100</x:v>
      </x:c>
      <x:c r="P35" s="14" t="n">
        <x:v>75</x:v>
      </x:c>
      <x:c r="Q35" s="14" t="str">
        <x:v>LATER</x:v>
      </x:c>
      <x:c r="R35" s="14" t="str">
        <x:v>수영장 전문회사로 회사·면허·공장·제품·포트폴리오 정보가 정리됨. AEO 약체보다는 전문 파트너형.</x:v>
      </x:c>
      <x:c r="S35" s="14" t="str">
        <x:v>전원주택 적용 가능한 소형/조립식 라인 확인</x:v>
      </x:c>
      <x:c r="T35" s="14" t="str">
        <x:v>2026-08-13</x:v>
      </x:c>
    </x:row>
    <x:row r="36" ht="46" customHeight="1">
      <x:c r="A36" s="14" t="str">
        <x:v>RHY-071</x:v>
      </x:c>
      <x:c r="B36" s="14" t="str">
        <x:v>비반스 / 잇츠스마트팜</x:v>
      </x:c>
      <x:c r="C36" s="14" t="str">
        <x:v>S07</x:v>
      </x:c>
      <x:c r="D36" s="14" t="str">
        <x:v>GARDEN,SMART</x:v>
      </x:c>
      <x:c r="E36" s="14" t="str">
        <x:v>무선 자동관수</x:v>
      </x:c>
      <x:c r="F36" s="14" t="str">
        <x:v>02-566-3110</x:v>
      </x:c>
      <x:c r="G36" s="14" t="str">
        <x:v>marketing@vivans.net</x:v>
      </x:c>
      <x:c r="H36" s="14" t="str">
        <x:v>전화+이메일</x:v>
      </x:c>
      <x:c r="I36" s="14" t="str">
        <x:v>https://www.vivans.net/</x:v>
      </x:c>
      <x:c r="J36" s="14" t="str">
        <x:v>공식</x:v>
      </x:c>
      <x:c r="K36" s="14" t="str">
        <x:v>공식사이트/연락처 확인</x:v>
      </x:c>
      <x:c r="L36" s="14" t="n">
        <x:v>89</x:v>
      </x:c>
      <x:c r="M36" s="14" t="n">
        <x:v>75</x:v>
      </x:c>
      <x:c r="N36" s="14" t="n">
        <x:v>45</x:v>
      </x:c>
      <x:c r="O36" s="14" t="n">
        <x:v>100</x:v>
      </x:c>
      <x:c r="P36" s="14" t="n">
        <x:v>73</x:v>
      </x:c>
      <x:c r="Q36" s="14" t="str">
        <x:v>BENCHMARK</x:v>
      </x:c>
      <x:c r="R36" s="14" t="str">
        <x:v>스마트팜/자동관수 플랫폼 및 서비스 설명이 비교적 탄탄. AEO 약체 타깃으로는 우선순위 낮춤.</x:v>
      </x:c>
      <x:c r="S36" s="14" t="str">
        <x:v>전원주택 정원용 간소화 제품 가능성 문의</x:v>
      </x:c>
      <x:c r="T36" s="14" t="str">
        <x:v>2026-08-13</x:v>
      </x:c>
    </x:row>
    <x:row r="37" ht="46" customHeight="1">
      <x:c r="A37" s="14" t="str">
        <x:v>RHY-001</x:v>
      </x:c>
      <x:c r="B37" s="14" t="str">
        <x:v>현대휀스개발(주)</x:v>
      </x:c>
      <x:c r="C37" s="14" t="str">
        <x:v>S01</x:v>
      </x:c>
      <x:c r="D37" s="14" t="str">
        <x:v>BOUNDARY,GATE</x:v>
      </x:c>
      <x:c r="E37" s="14" t="str">
        <x:v>휀스·울타리</x:v>
      </x:c>
      <x:c r="F37" s="14" t="str">
        <x:v>1899-5847</x:v>
      </x:c>
      <x:c r="G37" s="14" t="str"/>
      <x:c r="H37" s="14" t="str">
        <x:v>대표전화+홈페이지</x:v>
      </x:c>
      <x:c r="I37" s="14" t="str">
        <x:v>https://hdfence.co.kr/</x:v>
      </x:c>
      <x:c r="J37" s="14" t="str">
        <x:v>공식</x:v>
      </x:c>
      <x:c r="K37" s="14" t="str">
        <x:v>공식사이트/대표전화 확인</x:v>
      </x:c>
      <x:c r="L37" s="14" t="n">
        <x:v>88</x:v>
      </x:c>
      <x:c r="M37" s="14" t="n">
        <x:v>72</x:v>
      </x:c>
      <x:c r="N37" s="14" t="n">
        <x:v>68</x:v>
      </x:c>
      <x:c r="O37" s="14" t="n">
        <x:v>65</x:v>
      </x:c>
      <x:c r="P37" s="14" t="n">
        <x:v>76</x:v>
      </x:c>
      <x:c r="Q37" s="14" t="str">
        <x:v>NOW-2</x:v>
      </x:c>
      <x:c r="R37" s="14" t="str">
        <x:v>카탈로그/제품과 업체 실체는 명확. 제품비교·견적·주택용 의사결정 콘텐츠에서 기회.</x:v>
      </x:c>
      <x:c r="S37" s="14" t="str">
        <x:v>RHINORY 전원주택 울타리 입점 + 설치/가격 콘텐츠 공동제작</x:v>
      </x:c>
      <x:c r="T37" s="14" t="str">
        <x:v>2026-08-13</x:v>
      </x:c>
    </x:row>
    <x:row r="38" ht="46" customHeight="1">
      <x:c r="A38" s="14" t="str">
        <x:v>RHY-035</x:v>
      </x:c>
      <x:c r="B38" s="14" t="str">
        <x:v>세연테크</x:v>
      </x:c>
      <x:c r="C38" s="14" t="str">
        <x:v>S04</x:v>
      </x:c>
      <x:c r="D38" s="14" t="str">
        <x:v>SECURITY</x:v>
      </x:c>
      <x:c r="E38" s="14" t="str">
        <x:v>CCTV·비디오서버·VMS</x:v>
      </x:c>
      <x:c r="F38" s="14" t="str">
        <x:v>02-2192-6800</x:v>
      </x:c>
      <x:c r="G38" s="14" t="str">
        <x:v>sales@seyeon.co.kr</x:v>
      </x:c>
      <x:c r="H38" s="14" t="str">
        <x:v>전화+이메일+FAQ/매뉴얼</x:v>
      </x:c>
      <x:c r="I38" s="14" t="str">
        <x:v>https://flexwatch.co.kr/</x:v>
      </x:c>
      <x:c r="J38" s="14" t="str">
        <x:v>공식</x:v>
      </x:c>
      <x:c r="K38" s="14" t="str">
        <x:v>공식사이트/연락처/콘텐츠 확인</x:v>
      </x:c>
      <x:c r="L38" s="14" t="n">
        <x:v>87</x:v>
      </x:c>
      <x:c r="M38" s="14" t="n">
        <x:v>72</x:v>
      </x:c>
      <x:c r="N38" s="14" t="n">
        <x:v>32</x:v>
      </x:c>
      <x:c r="O38" s="14" t="n">
        <x:v>100</x:v>
      </x:c>
      <x:c r="P38" s="14" t="n">
        <x:v>67</x:v>
      </x:c>
      <x:c r="Q38" s="14" t="str">
        <x:v>BENCHMARK</x:v>
      </x:c>
      <x:c r="R38" s="14" t="str">
        <x:v>최근 뉴스, FAQ, 매뉴얼, 기술자료가 풍부. AEO-first 타깃에서는 제외하고 제조/보안 벤치마크로 유지.</x:v>
      </x:c>
      <x:c r="S38" s="14" t="str">
        <x:v>주택용 제품 존재 여부 확인 후 B2C 재포지셔닝 제안</x:v>
      </x:c>
      <x:c r="T38" s="14" t="str">
        <x:v>2026-08-13</x:v>
      </x:c>
    </x:row>
    <x:row r="39" ht="46" customHeight="1">
      <x:c r="A39" s="14" t="str">
        <x:v>RHY-042</x:v>
      </x:c>
      <x:c r="B39" s="14" t="str">
        <x:v>(주)에스이앤씨</x:v>
      </x:c>
      <x:c r="C39" s="14" t="str">
        <x:v>S05</x:v>
      </x:c>
      <x:c r="D39" s="14" t="str">
        <x:v>OUTDOOR</x:v>
      </x:c>
      <x:c r="E39" s="14" t="str">
        <x:v>에코어닝</x:v>
      </x:c>
      <x:c r="F39" s="14" t="str">
        <x:v>031-767-8779</x:v>
      </x:c>
      <x:c r="G39" s="14" t="str">
        <x:v>sunbaraenc@naver.com</x:v>
      </x:c>
      <x:c r="H39" s="14" t="str">
        <x:v>전화+이메일</x:v>
      </x:c>
      <x:c r="I39" s="14" t="str">
        <x:v>https://sunbaraenc.com/</x:v>
      </x:c>
      <x:c r="J39" s="14" t="str">
        <x:v>공식</x:v>
      </x:c>
      <x:c r="K39" s="14" t="str">
        <x:v>공식사이트/연락처 확인</x:v>
      </x:c>
      <x:c r="L39" s="14" t="n">
        <x:v>88</x:v>
      </x:c>
      <x:c r="M39" s="14" t="n">
        <x:v>70</x:v>
      </x:c>
      <x:c r="N39" s="14" t="n">
        <x:v>75</x:v>
      </x:c>
      <x:c r="O39" s="14" t="n">
        <x:v>100</x:v>
      </x:c>
      <x:c r="P39" s="14" t="n">
        <x:v>82</x:v>
      </x:c>
      <x:c r="Q39" s="14" t="str">
        <x:v>NOW-1</x:v>
      </x:c>
      <x:c r="R39" s="14" t="str">
        <x:v>제품/시공업체 실체는 있으나 검색상 답변형·비교형 정보는 제한적. 전원주택 전동어닝 패키지 제안 적합.</x:v>
      </x:c>
      <x:c r="S39" s="14" t="str">
        <x:v>전원주택용 전동어닝 SKU/설치 제휴</x:v>
      </x:c>
      <x:c r="T39" s="14" t="str">
        <x:v>2026-08-13</x:v>
      </x:c>
    </x:row>
    <x:row r="40" ht="46" customHeight="1">
      <x:c r="A40" s="14" t="str">
        <x:v>RHY-055</x:v>
      </x:c>
      <x:c r="B40" s="14" t="str">
        <x:v>플랜휴(PLANHU)</x:v>
      </x:c>
      <x:c r="C40" s="14" t="str">
        <x:v>S05</x:v>
      </x:c>
      <x:c r="D40" s="14" t="str">
        <x:v>OUTDOOR</x:v>
      </x:c>
      <x:c r="E40" s="14" t="str">
        <x:v>파고라·퍼걸러</x:v>
      </x:c>
      <x:c r="F40" s="14" t="str">
        <x:v>033-764-7909</x:v>
      </x:c>
      <x:c r="G40" s="14" t="str">
        <x:v>planhu@naver.com</x:v>
      </x:c>
      <x:c r="H40" s="14" t="str">
        <x:v>전화+이메일</x:v>
      </x:c>
      <x:c r="I40" s="14" t="str">
        <x:v>https://planhu.com/</x:v>
      </x:c>
      <x:c r="J40" s="14" t="str">
        <x:v>공식</x:v>
      </x:c>
      <x:c r="K40" s="14" t="str">
        <x:v>공식사이트/연락처 확인</x:v>
      </x:c>
      <x:c r="L40" s="14" t="n">
        <x:v>88</x:v>
      </x:c>
      <x:c r="M40" s="14" t="n">
        <x:v>70</x:v>
      </x:c>
      <x:c r="N40" s="14" t="n">
        <x:v>82</x:v>
      </x:c>
      <x:c r="O40" s="14" t="n">
        <x:v>100</x:v>
      </x:c>
      <x:c r="P40" s="14" t="n">
        <x:v>84</x:v>
      </x:c>
      <x:c r="Q40" s="14" t="str">
        <x:v>NOW-1</x:v>
      </x:c>
      <x:c r="R40" s="14" t="str">
        <x:v>제품 규격은 있으나 소규모 제조/조경시설업체 성격으로 콘텐츠 확장성이 큼. RHINORY가 B2C 전환을 돕기 좋음.</x:v>
      </x:c>
      <x:c r="S40" s="14" t="str">
        <x:v>주택용 디자인 파고라 라인 재구성 제안</x:v>
      </x:c>
      <x:c r="T40" s="14" t="str">
        <x:v>2026-08-13</x:v>
      </x:c>
    </x:row>
    <x:row r="41" ht="46" customHeight="1">
      <x:c r="A41" s="14" t="str">
        <x:v>RHY-080</x:v>
      </x:c>
      <x:c r="B41" s="14" t="str">
        <x:v>썬테크</x:v>
      </x:c>
      <x:c r="C41" s="14" t="str">
        <x:v>S09</x:v>
      </x:c>
      <x:c r="D41" s="14" t="str">
        <x:v>POWER</x:v>
      </x:c>
      <x:c r="E41" s="14" t="str">
        <x:v>비상발전기</x:v>
      </x:c>
      <x:c r="F41" s="14" t="str">
        <x:v>061-721-2222 / 061-723-7272</x:v>
      </x:c>
      <x:c r="G41" s="14" t="str">
        <x:v>sun@sun-tech.co.kr</x:v>
      </x:c>
      <x:c r="H41" s="14" t="str">
        <x:v>전화+이메일</x:v>
      </x:c>
      <x:c r="I41" s="14" t="str">
        <x:v>https://www.sun-tech.co.kr/</x:v>
      </x:c>
      <x:c r="J41" s="14" t="str">
        <x:v>공식</x:v>
      </x:c>
      <x:c r="K41" s="14" t="str">
        <x:v>공식사이트/연락처 확인</x:v>
      </x:c>
      <x:c r="L41" s="14" t="n">
        <x:v>91</x:v>
      </x:c>
      <x:c r="M41" s="14" t="n">
        <x:v>62</x:v>
      </x:c>
      <x:c r="N41" s="14" t="n">
        <x:v>63</x:v>
      </x:c>
      <x:c r="O41" s="14" t="n">
        <x:v>100</x:v>
      </x:c>
      <x:c r="P41" s="14" t="n">
        <x:v>78</x:v>
      </x:c>
      <x:c r="Q41" s="14" t="str">
        <x:v>NOW-2</x:v>
      </x:c>
      <x:c r="R41" s="14" t="str">
        <x:v>발전기 제조·기술력은 명확. 주택용 구매가이드/설치/용량선정 콘텐츠는 부족하지만 B2B 색이 강함.</x:v>
      </x:c>
      <x:c r="S41" s="14" t="str">
        <x:v>가정/소형 상업용 모델 존재 여부 확인</x:v>
      </x:c>
      <x:c r="T41" s="14" t="str">
        <x:v>2026-08-13</x:v>
      </x:c>
    </x:row>
    <x:row r="42" ht="46" customHeight="1">
      <x:c r="A42" s="14" t="str">
        <x:v>RHY-085</x:v>
      </x:c>
      <x:c r="B42" s="14" t="str">
        <x:v>(주)미래테크</x:v>
      </x:c>
      <x:c r="C42" s="14" t="str">
        <x:v>S09</x:v>
      </x:c>
      <x:c r="D42" s="14" t="str">
        <x:v>POWER</x:v>
      </x:c>
      <x:c r="E42" s="14" t="str">
        <x:v>소형 풍력발전</x:v>
      </x:c>
      <x:c r="F42" s="14" t="str">
        <x:v>051-466-7777</x:v>
      </x:c>
      <x:c r="G42" s="14" t="str"/>
      <x:c r="H42" s="14" t="str">
        <x:v>전화</x:v>
      </x:c>
      <x:c r="I42" s="14" t="str">
        <x:v>https://gonggam.korea.kr/</x:v>
      </x:c>
      <x:c r="J42" s="14" t="str">
        <x:v>최근 기사/기업정보</x:v>
      </x:c>
      <x:c r="K42" s="14" t="str">
        <x:v>최근 기사로 전화/사업 확인; 공식웹 재검증 필요</x:v>
      </x:c>
      <x:c r="L42" s="14" t="n">
        <x:v>86</x:v>
      </x:c>
      <x:c r="M42" s="14" t="n">
        <x:v>62</x:v>
      </x:c>
      <x:c r="N42" s="14" t="n">
        <x:v>88</x:v>
      </x:c>
      <x:c r="O42" s="14" t="n">
        <x:v>65</x:v>
      </x:c>
      <x:c r="P42" s="14" t="n">
        <x:v>81</x:v>
      </x:c>
      <x:c r="Q42" s="14" t="str">
        <x:v>VERIFY</x:v>
      </x:c>
      <x:c r="R42" s="14" t="str">
        <x:v>소형 풍력 제조사로 외부 자료에서는 확인되나 공식 디지털 접점이 약함. 사업 지속/주택용 제품 재확인 전제의 고AEO 후보.</x:v>
      </x:c>
      <x:c r="S42" s="14" t="str">
        <x:v>차별화 에너지 상품, 현재 사업 지속여부 우선 확인</x:v>
      </x:c>
      <x:c r="T42" s="14" t="str">
        <x:v>2026-08-13</x:v>
      </x:c>
    </x:row>
    <x:row r="43" ht="46" customHeight="1">
      <x:c r="A43" s="14" t="str">
        <x:v>RHY-034</x:v>
      </x:c>
      <x:c r="B43" s="14" t="str">
        <x:v>CNB Technology</x:v>
      </x:c>
      <x:c r="C43" s="14" t="str">
        <x:v>S04</x:v>
      </x:c>
      <x:c r="D43" s="14" t="str">
        <x:v>SECURITY</x:v>
      </x:c>
      <x:c r="E43" s="14" t="str">
        <x:v>CCTV·DVR/NVR</x:v>
      </x:c>
      <x:c r="F43" s="14" t="str">
        <x:v>02-2624-2469</x:v>
      </x:c>
      <x:c r="G43" s="14" t="str">
        <x:v>cnbgtech@cnbtec.com</x:v>
      </x:c>
      <x:c r="H43" s="14" t="str">
        <x:v>전화+이메일+파트너문의</x:v>
      </x:c>
      <x:c r="I43" s="14" t="str">
        <x:v>https://cnbtec.co.kr/</x:v>
      </x:c>
      <x:c r="J43" s="14" t="str">
        <x:v>공식</x:v>
      </x:c>
      <x:c r="K43" s="14" t="str">
        <x:v>공식사이트/연락처 확인</x:v>
      </x:c>
      <x:c r="L43" s="14" t="n">
        <x:v>86</x:v>
      </x:c>
      <x:c r="M43" s="14" t="n">
        <x:v>68</x:v>
      </x:c>
      <x:c r="N43" s="14" t="n">
        <x:v>42</x:v>
      </x:c>
      <x:c r="O43" s="14" t="n">
        <x:v>100</x:v>
      </x:c>
      <x:c r="P43" s="14" t="n">
        <x:v>69</x:v>
      </x:c>
      <x:c r="Q43" s="14" t="str">
        <x:v>BENCHMARK</x:v>
      </x:c>
      <x:c r="R43" s="14" t="str">
        <x:v>공식 파트너 문의와 제품/회사 정보가 잘 정비됨. AEO-first보다는 CCTV 공급/OEM 벤치마크.</x:v>
      </x:c>
      <x:c r="S43" s="14" t="str">
        <x:v>중저가 주택 CCTV 패키지/OEM 가능성 확인</x:v>
      </x:c>
      <x:c r="T43" s="14" t="str">
        <x:v>2026-08-13</x:v>
      </x:c>
    </x:row>
  </x:sheetData>
  <x:conditionalFormatting sqref="P2:P4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{F9A4BA48-5766-2A67-0E7B-03F62780151E}</x14:id>
        </x:ext>
      </x:extLst>
    </x:cfRule>
  </x:conditionalFormatting>
  <x:conditionalFormatting sqref="Q2:Q43">
    <x:cfRule type="expression" dxfId="4" priority="2">
      <x:formula>Q2="NOW-1"</x:formula>
    </x:cfRule>
    <x:cfRule type="expression" dxfId="5" priority="3">
      <x:formula>Q2="NOW-2"</x:formula>
    </x:cfRule>
    <x:cfRule type="expression" dxfId="6" priority="4">
      <x:formula>Q2="VERIFY"</x:formula>
    </x:cfRule>
    <x:cfRule type="expression" dxfId="7" priority="5">
      <x:formula>Q2="BENCHMARK"</x:formula>
    </x:cfRule>
    <x:cfRule type="expression" dxfId="8" priority="6">
      <x:formula>Q2="LATER"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5b189c37cd495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9A4BA48-5766-2A67-0E7B-03F62780151E}">
            <x14:dataBar gradient="1">
              <x14:cfvo type="min"/>
              <x14:cfvo type="max"/>
              <x14:fillColor rgb="FFA02B93"/>
            </x14:dataBar>
          </x14:cfRule>
          <xm:sqref>P2:P43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28" hidden="0" customWidth="1"/>
    <x:col min="5" max="5" width="18" hidden="0" customWidth="1"/>
    <x:col min="6" max="6" width="66" hidden="0" customWidth="1"/>
    <x:col min="7" max="7" width="30" hidden="0" customWidth="1"/>
    <x:col min="8" max="8" width="46" hidden="0" customWidth="1"/>
    <x:col min="9" max="9" width="14" hidden="0" customWidth="1"/>
  </x:cols>
  <x:sheetData>
    <x:row r="1">
      <x:c r="A1" s="54" t="str">
        <x:v>ID</x:v>
      </x:c>
      <x:c r="B1" s="54" t="str">
        <x:v>업체명</x:v>
      </x:c>
      <x:c r="C1" s="54" t="str">
        <x:v>소싱군</x:v>
      </x:c>
      <x:c r="D1" s="54" t="str">
        <x:v>상품</x:v>
      </x:c>
      <x:c r="E1" s="54" t="str">
        <x:v>AEO 기회점수 v2</x:v>
      </x:c>
      <x:c r="F1" s="54" t="str">
        <x:v>관찰근거</x:v>
      </x:c>
      <x:c r="G1" s="54" t="str">
        <x:v>검증상태</x:v>
      </x:c>
      <x:c r="H1" s="54" t="str">
        <x:v>근거 URL</x:v>
      </x:c>
      <x:c r="I1" s="54" t="str">
        <x:v>영업큐</x:v>
      </x:c>
    </x:row>
    <x:row r="2" ht="50" customHeight="1">
      <x:c r="A2" s="14" t="str">
        <x:v>RHY-075</x:v>
      </x:c>
      <x:c r="B2" s="14" t="str">
        <x:v>(주)한국고압세척기</x:v>
      </x:c>
      <x:c r="C2" s="14" t="str">
        <x:v>S08</x:v>
      </x:c>
      <x:c r="D2" s="14" t="str">
        <x:v>고압세척기·스팀청소</x:v>
      </x:c>
      <x:c r="E2" s="14" t="n">
        <x:v>95</x:v>
      </x:c>
      <x:c r="F2" s="14" t="str">
        <x:v>제조업체 실체와 연락처는 강한데 일부 제품/뉴스 영역이 비어 있는 등 웹 콘텐츠 공백이 매우 큼. AEO-first 최상위 후보.</x:v>
      </x:c>
      <x:c r="G2" s="14" t="str">
        <x:v>공식사이트/연락처/콘텐츠공백 확인</x:v>
      </x:c>
      <x:c r="H2" s="14" t="str">
        <x:v>https://xn--299alkqt522dowe5smqnp.com/</x:v>
      </x:c>
      <x:c r="I2" s="14" t="str">
        <x:v>NOW-1</x:v>
      </x:c>
    </x:row>
    <x:row r="3" ht="50" customHeight="1">
      <x:c r="A3" s="14" t="str">
        <x:v>RHY-041</x:v>
      </x:c>
      <x:c r="B3" s="14" t="str">
        <x:v>우성테크</x:v>
      </x:c>
      <x:c r="C3" s="14" t="str">
        <x:v>S05</x:v>
      </x:c>
      <x:c r="D3" s="14" t="str">
        <x:v>어닝</x:v>
      </x:c>
      <x:c r="E3" s="14" t="n">
        <x:v>90</x:v>
      </x:c>
      <x:c r="F3" s="14" t="str">
        <x:v>1993년부터 어닝 제작 전문이라는 실체는 강하지만 웹 검색/콘텐츠/구조화는 매우 약함. RHINORY가 프론트 역할하기 좋은 전형적 후보.</x:v>
      </x:c>
      <x:c r="G3" s="14" t="str">
        <x:v>업체·연락처 교차확인</x:v>
      </x:c>
      <x:c r="H3" s="14" t="str">
        <x:v>http://www.ws-tech.co.kr/</x:v>
      </x:c>
      <x:c r="I3" s="14" t="str">
        <x:v>NOW-1</x:v>
      </x:c>
    </x:row>
    <x:row r="4" ht="50" customHeight="1">
      <x:c r="A4" s="14" t="str">
        <x:v>RHY-010</x:v>
      </x:c>
      <x:c r="B4" s="14" t="str">
        <x:v>의정부휀스울타리</x:v>
      </x:c>
      <x:c r="C4" s="14" t="str">
        <x:v>S01</x:v>
      </x:c>
      <x:c r="D4" s="14" t="str">
        <x:v>메쉬·디자인목재휀스</x:v>
      </x:c>
      <x:c r="E4" s="14" t="n">
        <x:v>90</x:v>
      </x:c>
      <x:c r="F4" s="14" t="str">
        <x:v>지역 시공/자재 실체는 있으나 브랜드·콘텐츠·답변형 페이지가 매우 약함. 지역 리드형 파트너에 적합.</x:v>
      </x:c>
      <x:c r="G4" s="14" t="str">
        <x:v>공식사이트/전화 확인</x:v>
      </x:c>
      <x:c r="H4" s="14" t="str">
        <x:v>https://ilsin04.co.kr/base/fence/ujbfence/01.php?com_board_category_code=c1</x:v>
      </x:c>
      <x:c r="I4" s="14" t="str">
        <x:v>NOW-2</x:v>
      </x:c>
    </x:row>
    <x:row r="5" ht="50" customHeight="1">
      <x:c r="A5" s="14" t="str">
        <x:v>RHY-027</x:v>
      </x:c>
      <x:c r="B5" s="14" t="str">
        <x:v>우성코리아</x:v>
      </x:c>
      <x:c r="C5" s="14" t="str">
        <x:v>S03</x:v>
      </x:c>
      <x:c r="D5" s="14" t="str">
        <x:v>우편함·택배함</x:v>
      </x:c>
      <x:c r="E5" s="14" t="n">
        <x:v>88</x:v>
      </x:c>
      <x:c r="F5" s="14" t="str">
        <x:v>맞춤 우편함/택배함 직접 제조 성격은 강하나 검색/콘텐츠 층이 빈약. 단독주택용 상품을 RHINORY가 재구성하기 좋음.</x:v>
      </x:c>
      <x:c r="G5" s="14" t="str">
        <x:v>공식사이트/연락처 확인</x:v>
      </x:c>
      <x:c r="H5" s="14" t="str">
        <x:v>http://woosungkorea.co.kr/</x:v>
      </x:c>
      <x:c r="I5" s="14" t="str">
        <x:v>NOW-1</x:v>
      </x:c>
    </x:row>
    <x:row r="6" ht="50" customHeight="1">
      <x:c r="A6" s="14" t="str">
        <x:v>RHY-009</x:v>
      </x:c>
      <x:c r="B6" s="14" t="str">
        <x:v>세우메쉬</x:v>
      </x:c>
      <x:c r="C6" s="14" t="str">
        <x:v>S01</x:v>
      </x:c>
      <x:c r="D6" s="14" t="str">
        <x:v>디자인휀스·대문</x:v>
      </x:c>
      <x:c r="E6" s="14" t="n">
        <x:v>88</x:v>
      </x:c>
      <x:c r="F6" s="14" t="str">
        <x:v>제품은 다양하지만 구형 게시판/제품 페이지 중심. 설명·FAQ·가격·설치의 구조화 공백이 큼.</x:v>
      </x:c>
      <x:c r="G6" s="14" t="str">
        <x:v>공식사이트/연락처 확인</x:v>
      </x:c>
      <x:c r="H6" s="14" t="str">
        <x:v>https://www.seawoomesh.co.kr/</x:v>
      </x:c>
      <x:c r="I6" s="14" t="str">
        <x:v>NOW-1</x:v>
      </x:c>
    </x:row>
    <x:row r="7" ht="50" customHeight="1">
      <x:c r="A7" s="14" t="str">
        <x:v>RHY-085</x:v>
      </x:c>
      <x:c r="B7" s="14" t="str">
        <x:v>(주)미래테크</x:v>
      </x:c>
      <x:c r="C7" s="14" t="str">
        <x:v>S09</x:v>
      </x:c>
      <x:c r="D7" s="14" t="str">
        <x:v>소형 풍력발전</x:v>
      </x:c>
      <x:c r="E7" s="14" t="n">
        <x:v>88</x:v>
      </x:c>
      <x:c r="F7" s="14" t="str">
        <x:v>소형 풍력 제조사로 외부 자료에서는 확인되나 공식 디지털 접점이 약함. 사업 지속/주택용 제품 재확인 전제의 고AEO 후보.</x:v>
      </x:c>
      <x:c r="G7" s="14" t="str">
        <x:v>최근 기사로 전화/사업 확인; 공식웹 재검증 필요</x:v>
      </x:c>
      <x:c r="H7" s="14" t="str">
        <x:v>https://gonggam.korea.kr/</x:v>
      </x:c>
      <x:c r="I7" s="14" t="str">
        <x:v>VERIFY</x:v>
      </x:c>
    </x:row>
    <x:row r="8" ht="50" customHeight="1">
      <x:c r="A8" s="14" t="str">
        <x:v>RHY-064</x:v>
      </x:c>
      <x:c r="B8" s="14" t="str">
        <x:v>솔레노이드 / IRRIWA</x:v>
      </x:c>
      <x:c r="C8" s="14" t="str">
        <x:v>S07</x:v>
      </x:c>
      <x:c r="D8" s="14" t="str">
        <x:v>자동관수·관수자재</x:v>
      </x:c>
      <x:c r="E8" s="14" t="n">
        <x:v>82</x:v>
      </x:c>
      <x:c r="F8" s="14" t="str">
        <x:v>맞춤 자동관수 컨트롤러와 지역업체 공급/OEM 근거는 강함. 브랜드/제품 정보가 여러 웹면에 분산되어 엔티티 통합 여지가 큼.</x:v>
      </x:c>
      <x:c r="G8" s="14" t="str">
        <x:v>제품/OEM/연락처 확인</x:v>
      </x:c>
      <x:c r="H8" s="14" t="str">
        <x:v>https://irriwa.com/</x:v>
      </x:c>
      <x:c r="I8" s="14" t="str">
        <x:v>NOW-1</x:v>
      </x:c>
    </x:row>
    <x:row r="9" ht="50" customHeight="1">
      <x:c r="A9" s="14" t="str">
        <x:v>RHY-044</x:v>
      </x:c>
      <x:c r="B9" s="14" t="str">
        <x:v>(주)스마트합성데크</x:v>
      </x:c>
      <x:c r="C9" s="14" t="str">
        <x:v>S05</x:v>
      </x:c>
      <x:c r="D9" s="14" t="str">
        <x:v>합성데크·휀스</x:v>
      </x:c>
      <x:c r="E9" s="14" t="n">
        <x:v>82</x:v>
      </x:c>
      <x:c r="F9" s="14" t="str">
        <x:v>국내 제조와 제품력은 명확하나 사이트가 제조사 중심. 주택 소비자용 비용·비교·시공조건 답변층을 RHINORY가 만들 가치가 큼.</x:v>
      </x:c>
      <x:c r="G9" s="14" t="str">
        <x:v>공식사이트/연락처 확인</x:v>
      </x:c>
      <x:c r="H9" s="14" t="str">
        <x:v>https://www.smartwpc.co.kr/</x:v>
      </x:c>
      <x:c r="I9" s="14" t="str">
        <x:v>NOW-1</x:v>
      </x:c>
    </x:row>
    <x:row r="10" ht="50" customHeight="1">
      <x:c r="A10" s="14" t="str">
        <x:v>RHY-055</x:v>
      </x:c>
      <x:c r="B10" s="14" t="str">
        <x:v>플랜휴(PLANHU)</x:v>
      </x:c>
      <x:c r="C10" s="14" t="str">
        <x:v>S05</x:v>
      </x:c>
      <x:c r="D10" s="14" t="str">
        <x:v>파고라·퍼걸러</x:v>
      </x:c>
      <x:c r="E10" s="14" t="n">
        <x:v>82</x:v>
      </x:c>
      <x:c r="F10" s="14" t="str">
        <x:v>제품 규격은 있으나 소규모 제조/조경시설업체 성격으로 콘텐츠 확장성이 큼. RHINORY가 B2C 전환을 돕기 좋음.</x:v>
      </x:c>
      <x:c r="G10" s="14" t="str">
        <x:v>공식사이트/연락처 확인</x:v>
      </x:c>
      <x:c r="H10" s="14" t="str">
        <x:v>https://planhu.com/</x:v>
      </x:c>
      <x:c r="I10" s="14" t="str">
        <x:v>NOW-1</x:v>
      </x:c>
    </x:row>
    <x:row r="11" ht="50" customHeight="1">
      <x:c r="A11" s="14" t="str">
        <x:v>RHY-003</x:v>
      </x:c>
      <x:c r="B11" s="14" t="str">
        <x:v>세움휀스개발</x:v>
      </x:c>
      <x:c r="C11" s="14" t="str">
        <x:v>S01</x:v>
      </x:c>
      <x:c r="D11" s="14" t="str">
        <x:v>휀스 자재·시공</x:v>
      </x:c>
      <x:c r="E11" s="14" t="n">
        <x:v>76</x:v>
      </x:c>
      <x:c r="F11" s="14" t="str">
        <x:v>전국 자재납품·시공 실체는 명확. B2B 중심이라 주택 소비자 질문/가격/비교 정보가 상대적으로 약함.</x:v>
      </x:c>
      <x:c r="G11" s="14" t="str">
        <x:v>공식사이트/연락처 확인</x:v>
      </x:c>
      <x:c r="H11" s="14" t="str">
        <x:v>https://www.seumfence.co.kr/</x:v>
      </x:c>
      <x:c r="I11" s="14" t="str">
        <x:v>NOW-1</x:v>
      </x:c>
    </x:row>
    <x:row r="12" ht="50" customHeight="1">
      <x:c r="A12" s="14" t="str">
        <x:v>RHY-030</x:v>
      </x:c>
      <x:c r="B12" s="14" t="str">
        <x:v>(주)아름철강</x:v>
      </x:c>
      <x:c r="C12" s="14" t="str">
        <x:v>S03</x:v>
      </x:c>
      <x:c r="D12" s="14" t="str">
        <x:v>조립식창고·경량철골</x:v>
      </x:c>
      <x:c r="E12" s="14" t="n">
        <x:v>76</x:v>
      </x:c>
      <x:c r="F12" s="14" t="str">
        <x:v>경량철골 생산·시공실적은 풍부하지만 현재 HTTPS 접속에서 403이 관찰됨. 검색/AI 가시성 개선 여지가 큼.</x:v>
      </x:c>
      <x:c r="G12" s="14" t="str">
        <x:v>공식 검색색인/연락처 확인; 웹접속 이슈 관찰</x:v>
      </x:c>
      <x:c r="H12" s="14" t="str">
        <x:v>https://www.arst.co.kr/</x:v>
      </x:c>
      <x:c r="I12" s="14" t="str">
        <x:v>NOW-1</x:v>
      </x:c>
    </x:row>
    <x:row r="13" ht="50" customHeight="1">
      <x:c r="A13" s="14" t="str">
        <x:v>RHY-089</x:v>
      </x:c>
      <x:c r="B13" s="14" t="str">
        <x:v>(주)드림필</x:v>
      </x:c>
      <x:c r="C13" s="14" t="str">
        <x:v>S10</x:v>
      </x:c>
      <x:c r="D13" s="14" t="str">
        <x:v>어린이놀이·휴게시설</x:v>
      </x:c>
      <x:c r="E13" s="14" t="n">
        <x:v>75</x:v>
      </x:c>
      <x:c r="F13" s="14" t="str">
        <x:v>제품군은 확인되나 소비자용 콘텐츠/FAQ/비용 정보는 약함. 가정용 소형 놀이시설로 재포지셔닝 가치.</x:v>
      </x:c>
      <x:c r="G13" s="14" t="str">
        <x:v>공식사이트/연락처 확인</x:v>
      </x:c>
      <x:c r="H13" s="14" t="str">
        <x:v>https://www.dfland.co.kr/</x:v>
      </x:c>
      <x:c r="I13" s="14" t="str">
        <x:v>NOW-1</x:v>
      </x:c>
    </x:row>
    <x:row r="14" ht="50" customHeight="1">
      <x:c r="A14" s="14" t="str">
        <x:v>RHY-042</x:v>
      </x:c>
      <x:c r="B14" s="14" t="str">
        <x:v>(주)에스이앤씨</x:v>
      </x:c>
      <x:c r="C14" s="14" t="str">
        <x:v>S05</x:v>
      </x:c>
      <x:c r="D14" s="14" t="str">
        <x:v>에코어닝</x:v>
      </x:c>
      <x:c r="E14" s="14" t="n">
        <x:v>75</x:v>
      </x:c>
      <x:c r="F14" s="14" t="str">
        <x:v>제품/시공업체 실체는 있으나 검색상 답변형·비교형 정보는 제한적. 전원주택 전동어닝 패키지 제안 적합.</x:v>
      </x:c>
      <x:c r="G14" s="14" t="str">
        <x:v>공식사이트/연락처 확인</x:v>
      </x:c>
      <x:c r="H14" s="14" t="str">
        <x:v>https://sunbaraenc.com/</x:v>
      </x:c>
      <x:c r="I14" s="14" t="str">
        <x:v>NOW-1</x:v>
      </x:c>
    </x:row>
    <x:row r="15" ht="50" customHeight="1">
      <x:c r="A15" s="14" t="str">
        <x:v>RHY-006</x:v>
      </x:c>
      <x:c r="B15" s="14" t="str">
        <x:v>신한게이트</x:v>
      </x:c>
      <x:c r="C15" s="14" t="str">
        <x:v>S01</x:v>
      </x:c>
      <x:c r="D15" s="14" t="str">
        <x:v>대문·자동대문·차고문·휀스</x:v>
      </x:c>
      <x:c r="E15" s="14" t="n">
        <x:v>72</x:v>
      </x:c>
      <x:c r="F15" s="14" t="str">
        <x:v>시공사례와 견적 Q&amp;A는 충분. 다만 오래된 게시판형 구조이고 가격·비교·선택가이드의 구조화 여지가 큼.</x:v>
      </x:c>
      <x:c r="G15" s="14" t="str">
        <x:v>공식사이트/연락처 확인</x:v>
      </x:c>
      <x:c r="H15" s="14" t="str">
        <x:v>https://shgate.itpage.kr/</x:v>
      </x:c>
      <x:c r="I15" s="14" t="str">
        <x:v>NOW-1</x:v>
      </x:c>
    </x:row>
    <x:row r="16" ht="50" customHeight="1">
      <x:c r="A16" s="14" t="str">
        <x:v>RHY-062</x:v>
      </x:c>
      <x:c r="B16" s="14" t="str">
        <x:v>사우나월드</x:v>
      </x:c>
      <x:c r="C16" s="14" t="str">
        <x:v>S06</x:v>
      </x:c>
      <x:c r="D16" s="14" t="str">
        <x:v>가정용 사우나캐빈</x:v>
      </x:c>
      <x:c r="E16" s="14" t="n">
        <x:v>72</x:v>
      </x:c>
      <x:c r="F16" s="14" t="str">
        <x:v>국내 제작과 제품 설명은 존재. 설치조건·유지비·공간별 추천·비교 콘텐츠는 확장 여지가 큼.</x:v>
      </x:c>
      <x:c r="G16" s="14" t="str">
        <x:v>공식사이트/연락처 확인</x:v>
      </x:c>
      <x:c r="H16" s="14" t="str">
        <x:v>https://www.saunaworld.co.kr/</x:v>
      </x:c>
      <x:c r="I16" s="14" t="str">
        <x:v>NOW-1</x:v>
      </x:c>
    </x:row>
    <x:row r="17" ht="50" customHeight="1">
      <x:c r="A17" s="14" t="str">
        <x:v>RHY-088</x:v>
      </x:c>
      <x:c r="B17" s="14" t="str">
        <x:v>한국조경건설</x:v>
      </x:c>
      <x:c r="C17" s="14" t="str">
        <x:v>S10</x:v>
      </x:c>
      <x:c r="D17" s="14" t="str">
        <x:v>어린이놀이시설</x:v>
      </x:c>
      <x:c r="E17" s="14" t="n">
        <x:v>72</x:v>
      </x:c>
      <x:c r="F17" s="14" t="str">
        <x:v>놀이/조경 제조·설치 정보는 있으나 주택용 소형 상품·가격·안전기준 설명 콘텐츠는 약함.</x:v>
      </x:c>
      <x:c r="G17" s="14" t="str">
        <x:v>공식사이트/연락처 확인</x:v>
      </x:c>
      <x:c r="H17" s="14" t="str">
        <x:v>https://www.hkland.co.kr/</x:v>
      </x:c>
      <x:c r="I17" s="14" t="str">
        <x:v>NOW-1</x:v>
      </x:c>
    </x:row>
    <x:row r="18" ht="50" customHeight="1">
      <x:c r="A18" s="14" t="str">
        <x:v>RHY-052</x:v>
      </x:c>
      <x:c r="B18" s="14" t="str">
        <x:v>티파니조경</x:v>
      </x:c>
      <x:c r="C18" s="14" t="str">
        <x:v>S05,S10,S03</x:v>
      </x:c>
      <x:c r="D18" s="14" t="str">
        <x:v>퍼걸러·벤치·분리수거장·울타리</x:v>
      </x:c>
      <x:c r="E18" s="14" t="n">
        <x:v>70</x:v>
      </x:c>
      <x:c r="F18" s="14" t="str">
        <x:v>제품군·자료실·SNS는 존재. 소비자 질문/비교/설치비 중심 AEO 콘텐츠는 상대적으로 약함.</x:v>
      </x:c>
      <x:c r="G18" s="14" t="str">
        <x:v>공식사이트/연락처 확인</x:v>
      </x:c>
      <x:c r="H18" s="14" t="str">
        <x:v>https://tfnland.co.kr/</x:v>
      </x:c>
      <x:c r="I18" s="14" t="str">
        <x:v>NOW-1</x:v>
      </x:c>
    </x:row>
    <x:row r="19" ht="50" customHeight="1">
      <x:c r="A19" s="14" t="str">
        <x:v>RHY-024</x:v>
      </x:c>
      <x:c r="B19" s="14" t="str">
        <x:v>KDS</x:v>
      </x:c>
      <x:c r="C19" s="14" t="str">
        <x:v>S03</x:v>
      </x:c>
      <x:c r="D19" s="14" t="str">
        <x:v>무인택배시스템</x:v>
      </x:c>
      <x:c r="E19" s="14" t="n">
        <x:v>70</x:v>
      </x:c>
      <x:c r="F19" s="14" t="str">
        <x:v>무인택배 시스템 제품은 명확. 단독주택/소규모용 문제 해결형 콘텐츠와 가격 구조가 부족.</x:v>
      </x:c>
      <x:c r="G19" s="14" t="str">
        <x:v>공식사이트/연락처 확인</x:v>
      </x:c>
      <x:c r="H19" s="14" t="str">
        <x:v>https://k-d-s.co.kr/</x:v>
      </x:c>
      <x:c r="I19" s="14" t="str">
        <x:v>NOW-2</x:v>
      </x:c>
    </x:row>
    <x:row r="20" ht="50" customHeight="1">
      <x:c r="A20" s="14" t="str">
        <x:v>RHY-048</x:v>
      </x:c>
      <x:c r="B20" s="14" t="str">
        <x:v>(주)S합성데크</x:v>
      </x:c>
      <x:c r="C20" s="14" t="str">
        <x:v>S05</x:v>
      </x:c>
      <x:c r="D20" s="14" t="str">
        <x:v>합성데크·휀스</x:v>
      </x:c>
      <x:c r="E20" s="14" t="n">
        <x:v>68</x:v>
      </x:c>
      <x:c r="F20" s="14" t="str">
        <x:v>최근 주택 시공사례 콘텐츠가 활발하여 초기 GAP 92는 하향. FAQ·가격·재료비교 구조화는 여전히 부족.</x:v>
      </x:c>
      <x:c r="G20" s="14" t="str">
        <x:v>공식사이트/연락처/최근사례 확인</x:v>
      </x:c>
      <x:c r="H20" s="14" t="str">
        <x:v>https://sdeck.co.kr/</x:v>
      </x:c>
      <x:c r="I20" s="14" t="str">
        <x:v>NOW-1</x:v>
      </x:c>
    </x:row>
    <x:row r="21" ht="50" customHeight="1">
      <x:c r="A21" s="14" t="str">
        <x:v>RHY-001</x:v>
      </x:c>
      <x:c r="B21" s="14" t="str">
        <x:v>현대휀스개발(주)</x:v>
      </x:c>
      <x:c r="C21" s="14" t="str">
        <x:v>S01</x:v>
      </x:c>
      <x:c r="D21" s="14" t="str">
        <x:v>휀스·울타리</x:v>
      </x:c>
      <x:c r="E21" s="14" t="n">
        <x:v>68</x:v>
      </x:c>
      <x:c r="F21" s="14" t="str">
        <x:v>카탈로그/제품과 업체 실체는 명확. 제품비교·견적·주택용 의사결정 콘텐츠에서 기회.</x:v>
      </x:c>
      <x:c r="G21" s="14" t="str">
        <x:v>공식사이트/대표전화 확인</x:v>
      </x:c>
      <x:c r="H21" s="14" t="str">
        <x:v>https://hdfence.co.kr/</x:v>
      </x:c>
      <x:c r="I21" s="14" t="str">
        <x:v>NOW-2</x:v>
      </x:c>
    </x:row>
    <x:row r="22" ht="50" customHeight="1">
      <x:c r="A22" s="14" t="str">
        <x:v>RHY-074</x:v>
      </x:c>
      <x:c r="B22" s="14" t="str">
        <x:v>성보하이드로엔지니어링</x:v>
      </x:c>
      <x:c r="C22" s="14" t="str">
        <x:v>S08</x:v>
      </x:c>
      <x:c r="D22" s="14" t="str">
        <x:v>산업용 고압세척기</x:v>
      </x:c>
      <x:c r="E22" s="14" t="n">
        <x:v>66</x:v>
      </x:c>
      <x:c r="F22" s="14" t="str">
        <x:v>직접 설계/제작과 구매·A/S 채널은 강함. 주택 소비자용 사용상황/선택가이드가 약해 전환 여지.</x:v>
      </x:c>
      <x:c r="G22" s="14" t="str">
        <x:v>공식사이트/연락처 확인</x:v>
      </x:c>
      <x:c r="H22" s="14" t="str">
        <x:v>https://sungbohe.co.kr/</x:v>
      </x:c>
      <x:c r="I22" s="14" t="str">
        <x:v>NOW-1</x:v>
      </x:c>
    </x:row>
    <x:row r="23" ht="50" customHeight="1">
      <x:c r="A23" s="14" t="str">
        <x:v>RHY-008</x:v>
      </x:c>
      <x:c r="B23" s="14" t="str">
        <x:v>KJ게이트 / 금전금속</x:v>
      </x:c>
      <x:c r="C23" s="14" t="str">
        <x:v>S01</x:v>
      </x:c>
      <x:c r="D23" s="14" t="str">
        <x:v>맞춤대문·휀스</x:v>
      </x:c>
      <x:c r="E23" s="14" t="n">
        <x:v>66</x:v>
      </x:c>
      <x:c r="F23" s="14" t="str">
        <x:v>맞춤 디자인 대문 제품은 확인되지만 소비자 가이드/비용/자동화 비교층은 약함.</x:v>
      </x:c>
      <x:c r="G23" s="14" t="str">
        <x:v>공식사이트/연락처 확인</x:v>
      </x:c>
      <x:c r="H23" s="14" t="str">
        <x:v>https://kjgate.co.kr/</x:v>
      </x:c>
      <x:c r="I23" s="14" t="str">
        <x:v>NOW-2</x:v>
      </x:c>
    </x:row>
    <x:row r="24" ht="50" customHeight="1">
      <x:c r="A24" s="14" t="str">
        <x:v>RHY-047</x:v>
      </x:c>
      <x:c r="B24" s="14" t="str">
        <x:v>(주)유에스씨</x:v>
      </x:c>
      <x:c r="C24" s="14" t="str">
        <x:v>S05</x:v>
      </x:c>
      <x:c r="D24" s="14" t="str">
        <x:v>합성목재·데크·사이딩</x:v>
      </x:c>
      <x:c r="E24" s="14" t="n">
        <x:v>65</x:v>
      </x:c>
      <x:c r="F24" s="14" t="str">
        <x:v>합성목재·데크·사이딩·난간 제조/유통 정보는 명확. 소비자 문제형/비교형 콘텐츠는 확장 가능.</x:v>
      </x:c>
      <x:c r="G24" s="14" t="str">
        <x:v>공식사이트/연락처 확인</x:v>
      </x:c>
      <x:c r="H24" s="14" t="str">
        <x:v>https://www.uscjk.co.kr/</x:v>
      </x:c>
      <x:c r="I24" s="14" t="str">
        <x:v>NOW-1</x:v>
      </x:c>
    </x:row>
    <x:row r="25" ht="50" customHeight="1">
      <x:c r="A25" s="14" t="str">
        <x:v>RHY-086</x:v>
      </x:c>
      <x:c r="B25" s="14" t="str">
        <x:v>에코랜드</x:v>
      </x:c>
      <x:c r="C25" s="14" t="str">
        <x:v>S10</x:v>
      </x:c>
      <x:c r="D25" s="14" t="str">
        <x:v>반려동물 놀이터시설</x:v>
      </x:c>
      <x:c r="E25" s="14" t="n">
        <x:v>65</x:v>
      </x:c>
      <x:c r="F25" s="14" t="str">
        <x:v>반려동물 놀이터 등 제품 페이지와 최근 공지가 있음. 주택용 소형 패키지/가격/설치조건 콘텐츠는 약함.</x:v>
      </x:c>
      <x:c r="G25" s="14" t="str">
        <x:v>공식사이트/연락처/활동 확인</x:v>
      </x:c>
      <x:c r="H25" s="14" t="str">
        <x:v>https://eco-land.kr/</x:v>
      </x:c>
      <x:c r="I25" s="14" t="str">
        <x:v>NOW-1</x:v>
      </x:c>
    </x:row>
    <x:row r="26" ht="50" customHeight="1">
      <x:c r="A26" s="14" t="str">
        <x:v>RHY-043</x:v>
      </x:c>
      <x:c r="B26" s="14" t="str">
        <x:v>(주)주원창호</x:v>
      </x:c>
      <x:c r="C26" s="14" t="str">
        <x:v>S05</x:v>
      </x:c>
      <x:c r="D26" s="14" t="str">
        <x:v>어닝 부속·차양</x:v>
      </x:c>
      <x:c r="E26" s="14" t="n">
        <x:v>64</x:v>
      </x:c>
      <x:c r="F26" s="14" t="str">
        <x:v>장기 제조 경력과 FAQ가 존재. OEM/완제품 공급 관점은 좋지만 AEO 공백은 중간.</x:v>
      </x:c>
      <x:c r="G26" s="14" t="str">
        <x:v>공식사이트/연락처 확인</x:v>
      </x:c>
      <x:c r="H26" s="14" t="str">
        <x:v>https://juwonchangho.com/</x:v>
      </x:c>
      <x:c r="I26" s="14" t="str">
        <x:v>NOW-1</x:v>
      </x:c>
    </x:row>
    <x:row r="27" ht="50" customHeight="1">
      <x:c r="A27" s="14" t="str">
        <x:v>RHY-045</x:v>
      </x:c>
      <x:c r="B27" s="14" t="str">
        <x:v>지티에스</x:v>
      </x:c>
      <x:c r="C27" s="14" t="str">
        <x:v>S05</x:v>
      </x:c>
      <x:c r="D27" s="14" t="str">
        <x:v>합성목재·데크</x:v>
      </x:c>
      <x:c r="E27" s="14" t="n">
        <x:v>63</x:v>
      </x:c>
      <x:c r="F27" s="14" t="str">
        <x:v>직접 제조·인증·설계/수량산출/배송/시공 정보가 비교적 명확. 비교/가격 콘텐츠 확장 여지는 남음.</x:v>
      </x:c>
      <x:c r="G27" s="14" t="str">
        <x:v>공식사이트/연락처 확인</x:v>
      </x:c>
      <x:c r="H27" s="14" t="str">
        <x:v>https://zts.kr/</x:v>
      </x:c>
      <x:c r="I27" s="14" t="str">
        <x:v>NOW-2</x:v>
      </x:c>
    </x:row>
    <x:row r="28" ht="50" customHeight="1">
      <x:c r="A28" s="14" t="str">
        <x:v>RHY-080</x:v>
      </x:c>
      <x:c r="B28" s="14" t="str">
        <x:v>썬테크</x:v>
      </x:c>
      <x:c r="C28" s="14" t="str">
        <x:v>S09</x:v>
      </x:c>
      <x:c r="D28" s="14" t="str">
        <x:v>비상발전기</x:v>
      </x:c>
      <x:c r="E28" s="14" t="n">
        <x:v>63</x:v>
      </x:c>
      <x:c r="F28" s="14" t="str">
        <x:v>발전기 제조·기술력은 명확. 주택용 구매가이드/설치/용량선정 콘텐츠는 부족하지만 B2B 색이 강함.</x:v>
      </x:c>
      <x:c r="G28" s="14" t="str">
        <x:v>공식사이트/연락처 확인</x:v>
      </x:c>
      <x:c r="H28" s="14" t="str">
        <x:v>https://www.sun-tech.co.kr/</x:v>
      </x:c>
      <x:c r="I28" s="14" t="str">
        <x:v>NOW-2</x:v>
      </x:c>
    </x:row>
    <x:row r="29" ht="50" customHeight="1">
      <x:c r="A29" s="14" t="str">
        <x:v>RHY-054</x:v>
      </x:c>
      <x:c r="B29" s="14" t="str">
        <x:v>주식회사 큐</x:v>
      </x:c>
      <x:c r="C29" s="14" t="str">
        <x:v>S05,S10,S03</x:v>
      </x:c>
      <x:c r="D29" s="14" t="str">
        <x:v>퍼걸러·놀이·부스·컨테이너</x:v>
      </x:c>
      <x:c r="E29" s="14" t="n">
        <x:v>62</x:v>
      </x:c>
      <x:c r="F29" s="14" t="str">
        <x:v>제품 스펙/규격이 비교적 구조화. AEO 공백보다 퍼걸러·놀이·부스·컨테이너 다품목 공급력이 핵심.</x:v>
      </x:c>
      <x:c r="G29" s="14" t="str">
        <x:v>공식사이트/연락처 확인</x:v>
      </x:c>
      <x:c r="H29" s="14" t="str">
        <x:v>https://q22.co.kr/</x:v>
      </x:c>
      <x:c r="I29" s="14" t="str">
        <x:v>NOW-1</x:v>
      </x:c>
    </x:row>
    <x:row r="30" ht="50" customHeight="1">
      <x:c r="A30" s="14" t="str">
        <x:v>RHY-056</x:v>
      </x:c>
      <x:c r="B30" s="14" t="str">
        <x:v>워터케이</x:v>
      </x:c>
      <x:c r="C30" s="14" t="str">
        <x:v>S06</x:v>
      </x:c>
      <x:c r="D30" s="14" t="str">
        <x:v>수영장·수처리</x:v>
      </x:c>
      <x:c r="E30" s="14" t="n">
        <x:v>62</x:v>
      </x:c>
      <x:c r="F30" s="14" t="str">
        <x:v>수영장 설비 질문에 직접 답하는 콘텐츠가 존재. 다만 가격/규모별 패키지/유지비 구조화는 확장 여지.</x:v>
      </x:c>
      <x:c r="G30" s="14" t="str">
        <x:v>공식사이트/연락처 확인</x:v>
      </x:c>
      <x:c r="H30" s="14" t="str">
        <x:v>https://waterk.co.kr/</x:v>
      </x:c>
      <x:c r="I30" s="14" t="str">
        <x:v>NOW-2</x:v>
      </x:c>
    </x:row>
    <x:row r="31" ht="50" customHeight="1">
      <x:c r="A31" s="14" t="str">
        <x:v>RHY-032</x:v>
      </x:c>
      <x:c r="B31" s="14" t="str">
        <x:v>베스트디지탈</x:v>
      </x:c>
      <x:c r="C31" s="14" t="str">
        <x:v>S04</x:v>
      </x:c>
      <x:c r="D31" s="14" t="str">
        <x:v>CCTV·NVR</x:v>
      </x:c>
      <x:c r="E31" s="14" t="n">
        <x:v>61</x:v>
      </x:c>
      <x:c r="F31" s="14" t="str">
        <x:v>R&amp;D 제조사와 제품군은 명확. B2B 기술정보를 주택 소비자 패키지로 번역하는 기회가 있음.</x:v>
      </x:c>
      <x:c r="G31" s="14" t="str">
        <x:v>공식사이트/연락처 확인</x:v>
      </x:c>
      <x:c r="H31" s="14" t="str">
        <x:v>https://www.bdvr.co.kr/</x:v>
      </x:c>
      <x:c r="I31" s="14" t="str">
        <x:v>NOW-2</x:v>
      </x:c>
    </x:row>
    <x:row r="32" ht="50" customHeight="1">
      <x:c r="A32" s="14" t="str">
        <x:v>RHY-070</x:v>
      </x:c>
      <x:c r="B32" s="14" t="str">
        <x:v>상인농자재</x:v>
      </x:c>
      <x:c r="C32" s="14" t="str">
        <x:v>S07</x:v>
      </x:c>
      <x:c r="D32" s="14" t="str">
        <x:v>관수자재</x:v>
      </x:c>
      <x:c r="E32" s="14" t="n">
        <x:v>60</x:v>
      </x:c>
      <x:c r="F32" s="14" t="str">
        <x:v>상품가격·쇼핑몰·FAQ/Q&amp;A가 이미 존재해 초기 GAP 92는 크게 하향. 도매/묶음 공급가치는 별도 평가.</x:v>
      </x:c>
      <x:c r="G32" s="14" t="str">
        <x:v>공식사이트/연락처 확인</x:v>
      </x:c>
      <x:c r="H32" s="14" t="str">
        <x:v>https://sanginmart.com/</x:v>
      </x:c>
      <x:c r="I32" s="14" t="str">
        <x:v>NOW-2</x:v>
      </x:c>
    </x:row>
    <x:row r="33" ht="50" customHeight="1">
      <x:c r="A33" s="14" t="str">
        <x:v>RHY-026</x:v>
      </x:c>
      <x:c r="B33" s="14" t="str">
        <x:v>아이포스트</x:v>
      </x:c>
      <x:c r="C33" s="14" t="str">
        <x:v>S03</x:v>
      </x:c>
      <x:c r="D33" s="14" t="str">
        <x:v>우편함·택배보관함</x:v>
      </x:c>
      <x:c r="E33" s="14" t="n">
        <x:v>60</x:v>
      </x:c>
      <x:c r="F33" s="14" t="str">
        <x:v>제품/시공사례가 지속적으로 축적되어 초기평가보다 웹역량이 좋음. 단독주택용 SKU/OEM 가치가 핵심.</x:v>
      </x:c>
      <x:c r="G33" s="14" t="str">
        <x:v>공식사이트/연락처 확인</x:v>
      </x:c>
      <x:c r="H33" s="14" t="str">
        <x:v>https://ipostehwa.co.kr/</x:v>
      </x:c>
      <x:c r="I33" s="14" t="str">
        <x:v>NOW-2</x:v>
      </x:c>
    </x:row>
    <x:row r="34" ht="50" customHeight="1">
      <x:c r="A34" s="14" t="str">
        <x:v>RHY-060</x:v>
      </x:c>
      <x:c r="B34" s="14" t="str">
        <x:v>한도아쿠아</x:v>
      </x:c>
      <x:c r="C34" s="14" t="str">
        <x:v>S06</x:v>
      </x:c>
      <x:c r="D34" s="14" t="str">
        <x:v>수영장 여과·펌프·열교환</x:v>
      </x:c>
      <x:c r="E34" s="14" t="n">
        <x:v>58</x:v>
      </x:c>
      <x:c r="F34" s="14" t="str">
        <x:v>전국 판매/A/S와 제품·견적 구조가 확인됨. 공급력은 높지만 AEO 극약체는 아님.</x:v>
      </x:c>
      <x:c r="G34" s="14" t="str">
        <x:v>공식사이트/전화/문의폼 확인; 이메일은 공식SNS</x:v>
      </x:c>
      <x:c r="H34" s="14" t="str">
        <x:v>https://www.handoaqua.com/</x:v>
      </x:c>
      <x:c r="I34" s="14" t="str">
        <x:v>NOW-2</x:v>
      </x:c>
    </x:row>
    <x:row r="35" ht="50" customHeight="1">
      <x:c r="A35" s="14" t="str">
        <x:v>RHY-081</x:v>
      </x:c>
      <x:c r="B35" s="14" t="str">
        <x:v>이스트파워</x:v>
      </x:c>
      <x:c r="C35" s="14" t="str">
        <x:v>S09</x:v>
      </x:c>
      <x:c r="D35" s="14" t="str">
        <x:v>비상발전기</x:v>
      </x:c>
      <x:c r="E35" s="14" t="n">
        <x:v>58</x:v>
      </x:c>
      <x:c r="F35" s="14" t="str">
        <x:v>발전기 설계/제조·기술/기업 실체가 잘 드러남. 주택용 소형 모델이 있으면 공급 제휴 가치, AEO 우선도는 중간 이하.</x:v>
      </x:c>
      <x:c r="G35" s="14" t="str">
        <x:v>공식사이트/연락처 확인</x:v>
      </x:c>
      <x:c r="H35" s="14" t="str">
        <x:v>https://eastpower.co.kr/</x:v>
      </x:c>
      <x:c r="I35" s="14" t="str">
        <x:v>NOW-2</x:v>
      </x:c>
    </x:row>
    <x:row r="36" ht="50" customHeight="1">
      <x:c r="A36" s="14" t="str">
        <x:v>RHY-005</x:v>
      </x:c>
      <x:c r="B36" s="14" t="str">
        <x:v>아라게이트</x:v>
      </x:c>
      <x:c r="C36" s="14" t="str">
        <x:v>S01</x:v>
      </x:c>
      <x:c r="D36" s="14" t="str">
        <x:v>자동대문·프리미엄대문</x:v>
      </x:c>
      <x:c r="E36" s="14" t="n">
        <x:v>57</x:v>
      </x:c>
      <x:c r="F36" s="14" t="str">
        <x:v>자주묻는질문과 제품 페이지가 있어 초기 GAP 84는 과대평가. 직접제작/설치 공급력은 여전히 높음.</x:v>
      </x:c>
      <x:c r="G36" s="14" t="str">
        <x:v>공식사이트/연락처/FAQ 확인</x:v>
      </x:c>
      <x:c r="H36" s="14" t="str">
        <x:v>https://xn--vk1b2p40pcxn.com/</x:v>
      </x:c>
      <x:c r="I36" s="14" t="str">
        <x:v>NOW-2</x:v>
      </x:c>
    </x:row>
    <x:row r="37" ht="50" customHeight="1">
      <x:c r="A37" s="14" t="str">
        <x:v>RHY-087</x:v>
      </x:c>
      <x:c r="B37" s="14" t="str">
        <x:v>(주)미소조경</x:v>
      </x:c>
      <x:c r="C37" s="14" t="str">
        <x:v>S10</x:v>
      </x:c>
      <x:c r="D37" s="14" t="str">
        <x:v>놀이터·분리수거장·휀스</x:v>
      </x:c>
      <x:c r="E37" s="14" t="n">
        <x:v>56</x:v>
      </x:c>
      <x:c r="F37" s="14" t="str">
        <x:v>시공사례와 FAQ가 이미 존재해 초기 GAP 92는 과대평가. 공급 다품목 가치는 높지만 AEO 우선도는 중간.</x:v>
      </x:c>
      <x:c r="G37" s="14" t="str">
        <x:v>공식사이트/연락처 확인</x:v>
      </x:c>
      <x:c r="H37" s="14" t="str">
        <x:v>https://www.smilemiso.net/</x:v>
      </x:c>
      <x:c r="I37" s="14" t="str">
        <x:v>NOW-2</x:v>
      </x:c>
    </x:row>
    <x:row r="38" ht="50" customHeight="1">
      <x:c r="A38" s="14" t="str">
        <x:v>RHY-058</x:v>
      </x:c>
      <x:c r="B38" s="14" t="str">
        <x:v>뉴트랜드</x:v>
      </x:c>
      <x:c r="C38" s="14" t="str">
        <x:v>S06</x:v>
      </x:c>
      <x:c r="D38" s="14" t="str">
        <x:v>조립식/상업 수영장</x:v>
      </x:c>
      <x:c r="E38" s="14" t="n">
        <x:v>52</x:v>
      </x:c>
      <x:c r="F38" s="14" t="str">
        <x:v>수영장 전문회사로 회사·면허·공장·제품·포트폴리오 정보가 정리됨. AEO 약체보다는 전문 파트너형.</x:v>
      </x:c>
      <x:c r="G38" s="14" t="str">
        <x:v>공식사이트/연락처 확인</x:v>
      </x:c>
      <x:c r="H38" s="14" t="str">
        <x:v>https://newtrend.co.kr/default/company/03.php?sub=5&amp;top=1</x:v>
      </x:c>
      <x:c r="I38" s="14" t="str">
        <x:v>LATER</x:v>
      </x:c>
    </x:row>
    <x:row r="39" ht="50" customHeight="1">
      <x:c r="A39" s="14" t="str">
        <x:v>RHY-059</x:v>
      </x:c>
      <x:c r="B39" s="14" t="str">
        <x:v>수상(수상엔지니어링)</x:v>
      </x:c>
      <x:c r="C39" s="14" t="str">
        <x:v>S06</x:v>
      </x:c>
      <x:c r="D39" s="14" t="str">
        <x:v>수영장·사우나·수처리</x:v>
      </x:c>
      <x:c r="E39" s="14" t="n">
        <x:v>48</x:v>
      </x:c>
      <x:c r="F39" s="14" t="str">
        <x:v>누적 프로젝트·수영장 설비·기술 설명이 매우 풍부. AEO 약자라기보다 공급력 높은 벤치마크/파트너형.</x:v>
      </x:c>
      <x:c r="G39" s="14" t="str">
        <x:v>공식사이트/전화/문의폼 확인</x:v>
      </x:c>
      <x:c r="H39" s="14" t="str">
        <x:v>https://susang.co.kr/</x:v>
      </x:c>
      <x:c r="I39" s="14" t="str">
        <x:v>BENCHMARK</x:v>
      </x:c>
    </x:row>
    <x:row r="40" ht="50" customHeight="1">
      <x:c r="A40" s="14" t="str">
        <x:v>RHY-071</x:v>
      </x:c>
      <x:c r="B40" s="14" t="str">
        <x:v>비반스 / 잇츠스마트팜</x:v>
      </x:c>
      <x:c r="C40" s="14" t="str">
        <x:v>S07</x:v>
      </x:c>
      <x:c r="D40" s="14" t="str">
        <x:v>무선 자동관수</x:v>
      </x:c>
      <x:c r="E40" s="14" t="n">
        <x:v>45</x:v>
      </x:c>
      <x:c r="F40" s="14" t="str">
        <x:v>스마트팜/자동관수 플랫폼 및 서비스 설명이 비교적 탄탄. AEO 약체 타깃으로는 우선순위 낮춤.</x:v>
      </x:c>
      <x:c r="G40" s="14" t="str">
        <x:v>공식사이트/연락처 확인</x:v>
      </x:c>
      <x:c r="H40" s="14" t="str">
        <x:v>https://www.vivans.net/</x:v>
      </x:c>
      <x:c r="I40" s="14" t="str">
        <x:v>BENCHMARK</x:v>
      </x:c>
    </x:row>
    <x:row r="41" ht="50" customHeight="1">
      <x:c r="A41" s="14" t="str">
        <x:v>RHY-051</x:v>
      </x:c>
      <x:c r="B41" s="14" t="str">
        <x:v>리스퀘어</x:v>
      </x:c>
      <x:c r="C41" s="14" t="str">
        <x:v>S05</x:v>
      </x:c>
      <x:c r="D41" s="14" t="str">
        <x:v>아웃도어키친</x:v>
      </x:c>
      <x:c r="E41" s="14" t="n">
        <x:v>42</x:v>
      </x:c>
      <x:c r="F41" s="14" t="str">
        <x:v>프리미엄 브랜드 사이트, 모델 상세, 프로젝트, 쇼룸/문의 구조가 매우 잘 되어 있음. AEO 공백 타깃보다는 고급상품 벤치마크.</x:v>
      </x:c>
      <x:c r="G41" s="14" t="str">
        <x:v>공식사이트/연락처 확인</x:v>
      </x:c>
      <x:c r="H41" s="14" t="str">
        <x:v>https://lisquare.co.kr/direction</x:v>
      </x:c>
      <x:c r="I41" s="14" t="str">
        <x:v>BENCHMARK</x:v>
      </x:c>
    </x:row>
    <x:row r="42" ht="50" customHeight="1">
      <x:c r="A42" s="14" t="str">
        <x:v>RHY-034</x:v>
      </x:c>
      <x:c r="B42" s="14" t="str">
        <x:v>CNB Technology</x:v>
      </x:c>
      <x:c r="C42" s="14" t="str">
        <x:v>S04</x:v>
      </x:c>
      <x:c r="D42" s="14" t="str">
        <x:v>CCTV·DVR/NVR</x:v>
      </x:c>
      <x:c r="E42" s="14" t="n">
        <x:v>42</x:v>
      </x:c>
      <x:c r="F42" s="14" t="str">
        <x:v>공식 파트너 문의와 제품/회사 정보가 잘 정비됨. AEO-first보다는 CCTV 공급/OEM 벤치마크.</x:v>
      </x:c>
      <x:c r="G42" s="14" t="str">
        <x:v>공식사이트/연락처 확인</x:v>
      </x:c>
      <x:c r="H42" s="14" t="str">
        <x:v>https://cnbtec.co.kr/</x:v>
      </x:c>
      <x:c r="I42" s="14" t="str">
        <x:v>BENCHMARK</x:v>
      </x:c>
    </x:row>
    <x:row r="43" ht="50" customHeight="1">
      <x:c r="A43" s="14" t="str">
        <x:v>RHY-035</x:v>
      </x:c>
      <x:c r="B43" s="14" t="str">
        <x:v>세연테크</x:v>
      </x:c>
      <x:c r="C43" s="14" t="str">
        <x:v>S04</x:v>
      </x:c>
      <x:c r="D43" s="14" t="str">
        <x:v>CCTV·비디오서버·VMS</x:v>
      </x:c>
      <x:c r="E43" s="14" t="n">
        <x:v>32</x:v>
      </x:c>
      <x:c r="F43" s="14" t="str">
        <x:v>최근 뉴스, FAQ, 매뉴얼, 기술자료가 풍부. AEO-first 타깃에서는 제외하고 제조/보안 벤치마크로 유지.</x:v>
      </x:c>
      <x:c r="G43" s="14" t="str">
        <x:v>공식사이트/연락처/콘텐츠 확인</x:v>
      </x:c>
      <x:c r="H43" s="14" t="str">
        <x:v>https://flexwatch.co.kr/</x:v>
      </x:c>
      <x:c r="I43" s="14" t="str">
        <x:v>BENCHMARK</x:v>
      </x:c>
    </x:row>
  </x:sheetData>
  <x:conditionalFormatting sqref="E2:E43">
    <x:cfRule type="colorScale" priority="1">
      <x:colorScale>
        <x:cfvo type="min"/>
        <x:cfvo type="percentile" val="50"/>
        <x:cfvo type="max"/>
        <x:color rgb="FFDCFCE7"/>
        <x:color rgb="FFFEF3C7"/>
        <x:color rgb="FFFCA5A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1c03697535c480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25" hidden="0" customWidth="1"/>
    <x:col min="5" max="5" width="30" hidden="0" customWidth="1"/>
    <x:col min="6" max="6" width="24" hidden="0" customWidth="1"/>
    <x:col min="7" max="7" width="28" hidden="0" customWidth="1"/>
    <x:col min="8" max="8" width="24" hidden="0" customWidth="1"/>
    <x:col min="9" max="9" width="15" hidden="0" customWidth="1"/>
    <x:col min="10" max="10" width="13" hidden="0" customWidth="1"/>
    <x:col min="11" max="11" width="14" hidden="0" customWidth="1"/>
    <x:col min="12" max="12" width="52" hidden="0" customWidth="1"/>
    <x:col min="13" max="13" width="28" hidden="0" customWidth="1"/>
    <x:col min="14" max="14" width="44" hidden="0" customWidth="1"/>
    <x:col min="15" max="15" width="10" hidden="0" customWidth="1"/>
  </x:cols>
  <x:sheetData>
    <x:row r="1">
      <x:c r="A1" s="57" t="str">
        <x:v>순번</x:v>
      </x:c>
      <x:c r="B1" s="57" t="str">
        <x:v>영업큐</x:v>
      </x:c>
      <x:c r="C1" s="57" t="str">
        <x:v>전략점수 v2</x:v>
      </x:c>
      <x:c r="D1" s="57" t="str">
        <x:v>업체명</x:v>
      </x:c>
      <x:c r="E1" s="57" t="str">
        <x:v>상품</x:v>
      </x:c>
      <x:c r="F1" s="57" t="str">
        <x:v>전화</x:v>
      </x:c>
      <x:c r="G1" s="57" t="str">
        <x:v>이메일</x:v>
      </x:c>
      <x:c r="H1" s="57" t="str">
        <x:v>접촉방법</x:v>
      </x:c>
      <x:c r="I1" s="57" t="str">
        <x:v>AEO 기회점수</x:v>
      </x:c>
      <x:c r="J1" s="57" t="str">
        <x:v>Supplier Fit</x:v>
      </x:c>
      <x:c r="K1" s="57" t="str">
        <x:v>멀티카테고리</x:v>
      </x:c>
      <x:c r="L1" s="57" t="str">
        <x:v>추천 접근각도</x:v>
      </x:c>
      <x:c r="M1" s="57" t="str">
        <x:v>검증상태</x:v>
      </x:c>
      <x:c r="N1" s="57" t="str">
        <x:v>URL</x:v>
      </x:c>
      <x:c r="O1" s="57" t="str">
        <x:v>ID</x:v>
      </x:c>
    </x:row>
    <x:row r="2" ht="46" customHeight="1">
      <x:c r="A2" s="14" t="n">
        <x:v>1</x:v>
      </x:c>
      <x:c r="B2" s="14" t="str">
        <x:v>NOW-1</x:v>
      </x:c>
      <x:c r="C2" s="14" t="n">
        <x:v>92</x:v>
      </x:c>
      <x:c r="D2" s="14" t="str">
        <x:v>솔레노이드 / IRRIWA</x:v>
      </x:c>
      <x:c r="E2" s="14" t="str">
        <x:v>자동관수·관수자재</x:v>
      </x:c>
      <x:c r="F2" s="14" t="str">
        <x:v>031-528-6369</x:v>
      </x:c>
      <x:c r="G2" s="14" t="str">
        <x:v>irriwa0@gmail.com</x:v>
      </x:c>
      <x:c r="H2" s="14" t="str">
        <x:v>전화+이메일+쇼핑몰</x:v>
      </x:c>
      <x:c r="I2" s="14" t="n">
        <x:v>82</x:v>
      </x:c>
      <x:c r="J2" s="14" t="n">
        <x:v>98</x:v>
      </x:c>
      <x:c r="K2" s="14" t="n">
        <x:v>92</x:v>
      </x:c>
      <x:c r="L2" s="14" t="str">
        <x:v>제품력+AEO공백 모두 큼. RHINORY 핵심 후보</x:v>
      </x:c>
      <x:c r="M2" s="14" t="str">
        <x:v>제품/OEM/연락처 확인</x:v>
      </x:c>
      <x:c r="N2" s="14" t="str">
        <x:v>https://irriwa.com/</x:v>
      </x:c>
      <x:c r="O2" s="14" t="str">
        <x:v>RHY-064</x:v>
      </x:c>
    </x:row>
    <x:row r="3" ht="46" customHeight="1">
      <x:c r="A3" s="14" t="n">
        <x:v>2</x:v>
      </x:c>
      <x:c r="B3" s="14" t="str">
        <x:v>NOW-1</x:v>
      </x:c>
      <x:c r="C3" s="14" t="n">
        <x:v>91</x:v>
      </x:c>
      <x:c r="D3" s="14" t="str">
        <x:v>(주)스마트합성데크</x:v>
      </x:c>
      <x:c r="E3" s="14" t="str">
        <x:v>합성데크·휀스</x:v>
      </x:c>
      <x:c r="F3" s="14" t="str">
        <x:v>031-963-6205~6</x:v>
      </x:c>
      <x:c r="G3" s="14" t="str">
        <x:v>smartwpc@hanmail.net</x:v>
      </x:c>
      <x:c r="H3" s="14" t="str">
        <x:v>전화+이메일</x:v>
      </x:c>
      <x:c r="I3" s="14" t="n">
        <x:v>82</x:v>
      </x:c>
      <x:c r="J3" s="14" t="n">
        <x:v>96</x:v>
      </x:c>
      <x:c r="K3" s="14" t="n">
        <x:v>94</x:v>
      </x:c>
      <x:c r="L3" s="14" t="str">
        <x:v>AEO 공백 대비 제품력 강함: 최우선 제조 파트너 후보</x:v>
      </x:c>
      <x:c r="M3" s="14" t="str">
        <x:v>공식사이트/연락처 확인</x:v>
      </x:c>
      <x:c r="N3" s="14" t="str">
        <x:v>https://www.smartwpc.co.kr/</x:v>
      </x:c>
      <x:c r="O3" s="14" t="str">
        <x:v>RHY-044</x:v>
      </x:c>
    </x:row>
    <x:row r="4" ht="46" customHeight="1">
      <x:c r="A4" s="14" t="n">
        <x:v>3</x:v>
      </x:c>
      <x:c r="B4" s="14" t="str">
        <x:v>NOW-1</x:v>
      </x:c>
      <x:c r="C4" s="14" t="n">
        <x:v>90</x:v>
      </x:c>
      <x:c r="D4" s="14" t="str">
        <x:v>우성테크</x:v>
      </x:c>
      <x:c r="E4" s="14" t="str">
        <x:v>어닝</x:v>
      </x:c>
      <x:c r="F4" s="14" t="str">
        <x:v>02-941-0609</x:v>
      </x:c>
      <x:c r="G4" s="14" t="str">
        <x:v>pamireawning@gmail.com</x:v>
      </x:c>
      <x:c r="H4" s="14" t="str">
        <x:v>전화+이메일</x:v>
      </x:c>
      <x:c r="I4" s="14" t="n">
        <x:v>90</x:v>
      </x:c>
      <x:c r="J4" s="14" t="n">
        <x:v>94</x:v>
      </x:c>
      <x:c r="K4" s="14" t="n">
        <x:v>70</x:v>
      </x:c>
      <x:c r="L4" s="14" t="str">
        <x:v>AEO 공백 큰 전형적 제조사 후보: RHINORY가 콘텐츠/브랜드 프론트 제공</x:v>
      </x:c>
      <x:c r="M4" s="14" t="str">
        <x:v>업체·연락처 교차확인</x:v>
      </x:c>
      <x:c r="N4" s="14" t="str">
        <x:v>http://www.ws-tech.co.kr/</x:v>
      </x:c>
      <x:c r="O4" s="14" t="str">
        <x:v>RHY-041</x:v>
      </x:c>
    </x:row>
    <x:row r="5" ht="46" customHeight="1">
      <x:c r="A5" s="14" t="n">
        <x:v>4</x:v>
      </x:c>
      <x:c r="B5" s="14" t="str">
        <x:v>NOW-1</x:v>
      </x:c>
      <x:c r="C5" s="14" t="n">
        <x:v>89</x:v>
      </x:c>
      <x:c r="D5" s="14" t="str">
        <x:v>(주)한국고압세척기</x:v>
      </x:c>
      <x:c r="E5" s="14" t="str">
        <x:v>고압세척기·스팀청소</x:v>
      </x:c>
      <x:c r="F5" s="14" t="str">
        <x:v>032-677-2633</x:v>
      </x:c>
      <x:c r="G5" s="14" t="str">
        <x:v>korhppm@naver.com</x:v>
      </x:c>
      <x:c r="H5" s="14" t="str">
        <x:v>전화+이메일</x:v>
      </x:c>
      <x:c r="I5" s="14" t="n">
        <x:v>95</x:v>
      </x:c>
      <x:c r="J5" s="14" t="n">
        <x:v>90</x:v>
      </x:c>
      <x:c r="K5" s="14" t="n">
        <x:v>65</x:v>
      </x:c>
      <x:c r="L5" s="14" t="str">
        <x:v>공식사이트/소형제품 확인 후 AEO형 유통 제안</x:v>
      </x:c>
      <x:c r="M5" s="14" t="str">
        <x:v>공식사이트/연락처/콘텐츠공백 확인</x:v>
      </x:c>
      <x:c r="N5" s="14" t="str">
        <x:v>https://xn--299alkqt522dowe5smqnp.com/</x:v>
      </x:c>
      <x:c r="O5" s="14" t="str">
        <x:v>RHY-075</x:v>
      </x:c>
    </x:row>
    <x:row r="6" ht="46" customHeight="1">
      <x:c r="A6" s="14" t="n">
        <x:v>5</x:v>
      </x:c>
      <x:c r="B6" s="14" t="str">
        <x:v>NOW-1</x:v>
      </x:c>
      <x:c r="C6" s="14" t="n">
        <x:v>88</x:v>
      </x:c>
      <x:c r="D6" s="14" t="str">
        <x:v>신한게이트</x:v>
      </x:c>
      <x:c r="E6" s="14" t="str">
        <x:v>대문·자동대문·차고문·휀스</x:v>
      </x:c>
      <x:c r="F6" s="14" t="str">
        <x:v>02-525-8288</x:v>
      </x:c>
      <x:c r="G6" s="14" t="str">
        <x:v>shg8288@naver.com</x:v>
      </x:c>
      <x:c r="H6" s="14" t="str">
        <x:v>전화+이메일+온라인견적</x:v>
      </x:c>
      <x:c r="I6" s="14" t="n">
        <x:v>72</x:v>
      </x:c>
      <x:c r="J6" s="14" t="n">
        <x:v>95</x:v>
      </x:c>
      <x:c r="K6" s="14" t="n">
        <x:v>96</x:v>
      </x:c>
      <x:c r="L6" s="14" t="str">
        <x:v>최우선 멀티카테고리 파트너: 대문+차고문+휀스 묶음</x:v>
      </x:c>
      <x:c r="M6" s="14" t="str">
        <x:v>공식사이트/연락처 확인</x:v>
      </x:c>
      <x:c r="N6" s="14" t="str">
        <x:v>https://shgate.itpage.kr/</x:v>
      </x:c>
      <x:c r="O6" s="14" t="str">
        <x:v>RHY-006</x:v>
      </x:c>
    </x:row>
    <x:row r="7" ht="46" customHeight="1">
      <x:c r="A7" s="14" t="n">
        <x:v>6</x:v>
      </x:c>
      <x:c r="B7" s="14" t="str">
        <x:v>NOW-1</x:v>
      </x:c>
      <x:c r="C7" s="14" t="n">
        <x:v>88</x:v>
      </x:c>
      <x:c r="D7" s="14" t="str">
        <x:v>티파니조경</x:v>
      </x:c>
      <x:c r="E7" s="14" t="str">
        <x:v>퍼걸러·벤치·분리수거장·울타리</x:v>
      </x:c>
      <x:c r="F7" s="14" t="str">
        <x:v>010-2446-8482</x:v>
      </x:c>
      <x:c r="G7" s="14" t="str">
        <x:v>tfnland2023@naver.com</x:v>
      </x:c>
      <x:c r="H7" s="14" t="str">
        <x:v>전화+이메일+쇼핑몰</x:v>
      </x:c>
      <x:c r="I7" s="14" t="n">
        <x:v>70</x:v>
      </x:c>
      <x:c r="J7" s="14" t="n">
        <x:v>96</x:v>
      </x:c>
      <x:c r="K7" s="14" t="n">
        <x:v>100</x:v>
      </x:c>
      <x:c r="L7" s="14" t="str">
        <x:v>최우선 멀티카테고리 제조/시공사 후보</x:v>
      </x:c>
      <x:c r="M7" s="14" t="str">
        <x:v>공식사이트/연락처 확인</x:v>
      </x:c>
      <x:c r="N7" s="14" t="str">
        <x:v>https://tfnland.co.kr/</x:v>
      </x:c>
      <x:c r="O7" s="14" t="str">
        <x:v>RHY-052</x:v>
      </x:c>
    </x:row>
    <x:row r="8" ht="46" customHeight="1">
      <x:c r="A8" s="14" t="n">
        <x:v>7</x:v>
      </x:c>
      <x:c r="B8" s="14" t="str">
        <x:v>NOW-1</x:v>
      </x:c>
      <x:c r="C8" s="14" t="n">
        <x:v>87</x:v>
      </x:c>
      <x:c r="D8" s="14" t="str">
        <x:v>우성코리아</x:v>
      </x:c>
      <x:c r="E8" s="14" t="str">
        <x:v>우편함·택배함</x:v>
      </x:c>
      <x:c r="F8" s="14" t="str">
        <x:v>02-927-2016~7</x:v>
      </x:c>
      <x:c r="G8" s="14" t="str">
        <x:v>9535736@hanmail.net</x:v>
      </x:c>
      <x:c r="H8" s="14" t="str">
        <x:v>전화+이메일</x:v>
      </x:c>
      <x:c r="I8" s="14" t="n">
        <x:v>88</x:v>
      </x:c>
      <x:c r="J8" s="14" t="n">
        <x:v>90</x:v>
      </x:c>
      <x:c r="K8" s="14" t="n">
        <x:v>70</x:v>
      </x:c>
      <x:c r="L8" s="14" t="str">
        <x:v>단독주택 디자인 우편함/택배함으로 시장 확장 제안</x:v>
      </x:c>
      <x:c r="M8" s="14" t="str">
        <x:v>공식사이트/연락처 확인</x:v>
      </x:c>
      <x:c r="N8" s="14" t="str">
        <x:v>http://woosungkorea.co.kr/</x:v>
      </x:c>
      <x:c r="O8" s="14" t="str">
        <x:v>RHY-027</x:v>
      </x:c>
    </x:row>
    <x:row r="9" ht="46" customHeight="1">
      <x:c r="A9" s="14" t="n">
        <x:v>8</x:v>
      </x:c>
      <x:c r="B9" s="14" t="str">
        <x:v>NOW-1</x:v>
      </x:c>
      <x:c r="C9" s="14" t="n">
        <x:v>87</x:v>
      </x:c>
      <x:c r="D9" s="14" t="str">
        <x:v>세우메쉬</x:v>
      </x:c>
      <x:c r="E9" s="14" t="str">
        <x:v>디자인휀스·대문</x:v>
      </x:c>
      <x:c r="F9" s="14" t="str">
        <x:v>031-221-0651</x:v>
      </x:c>
      <x:c r="G9" s="14" t="str">
        <x:v>2210651@naver.com</x:v>
      </x:c>
      <x:c r="H9" s="14" t="str">
        <x:v>전화+이메일</x:v>
      </x:c>
      <x:c r="I9" s="14" t="n">
        <x:v>88</x:v>
      </x:c>
      <x:c r="J9" s="14" t="n">
        <x:v>87</x:v>
      </x:c>
      <x:c r="K9" s="14" t="n">
        <x:v>74</x:v>
      </x:c>
      <x:c r="L9" s="14" t="str">
        <x:v>낡은 제품 페이지를 RHINORY에서 소비자 친화적으로 재가공</x:v>
      </x:c>
      <x:c r="M9" s="14" t="str">
        <x:v>공식사이트/연락처 확인</x:v>
      </x:c>
      <x:c r="N9" s="14" t="str">
        <x:v>https://www.seawoomesh.co.kr/</x:v>
      </x:c>
      <x:c r="O9" s="14" t="str">
        <x:v>RHY-009</x:v>
      </x:c>
    </x:row>
    <x:row r="10" ht="46" customHeight="1">
      <x:c r="A10" s="14" t="n">
        <x:v>9</x:v>
      </x:c>
      <x:c r="B10" s="14" t="str">
        <x:v>NOW-1</x:v>
      </x:c>
      <x:c r="C10" s="14" t="n">
        <x:v>85</x:v>
      </x:c>
      <x:c r="D10" s="14" t="str">
        <x:v>(주)드림필</x:v>
      </x:c>
      <x:c r="E10" s="14" t="str">
        <x:v>어린이놀이·휴게시설</x:v>
      </x:c>
      <x:c r="F10" s="14" t="str">
        <x:v>055-266-1456</x:v>
      </x:c>
      <x:c r="G10" s="14" t="str">
        <x:v>df2006@daum.net</x:v>
      </x:c>
      <x:c r="H10" s="14" t="str">
        <x:v>전화+이메일</x:v>
      </x:c>
      <x:c r="I10" s="14" t="n">
        <x:v>75</x:v>
      </x:c>
      <x:c r="J10" s="14" t="n">
        <x:v>91</x:v>
      </x:c>
      <x:c r="K10" s="14" t="n">
        <x:v>82</x:v>
      </x:c>
      <x:c r="L10" s="14" t="str">
        <x:v>마당형 소형 놀이시설 상품화 가능성 문의</x:v>
      </x:c>
      <x:c r="M10" s="14" t="str">
        <x:v>공식사이트/연락처 확인</x:v>
      </x:c>
      <x:c r="N10" s="14" t="str">
        <x:v>https://www.dfland.co.kr/</x:v>
      </x:c>
      <x:c r="O10" s="14" t="str">
        <x:v>RHY-089</x:v>
      </x:c>
    </x:row>
    <x:row r="11" ht="46" customHeight="1">
      <x:c r="A11" s="14" t="n">
        <x:v>10</x:v>
      </x:c>
      <x:c r="B11" s="14" t="str">
        <x:v>NOW-1</x:v>
      </x:c>
      <x:c r="C11" s="14" t="n">
        <x:v>84</x:v>
      </x:c>
      <x:c r="D11" s="14" t="str">
        <x:v>(주)S합성데크</x:v>
      </x:c>
      <x:c r="E11" s="14" t="str">
        <x:v>합성데크·휀스</x:v>
      </x:c>
      <x:c r="F11" s="14" t="str">
        <x:v>053-657-1969</x:v>
      </x:c>
      <x:c r="G11" s="14" t="str">
        <x:v>scpdeck@gmail.com</x:v>
      </x:c>
      <x:c r="H11" s="14" t="str">
        <x:v>전화+이메일+블로그</x:v>
      </x:c>
      <x:c r="I11" s="14" t="n">
        <x:v>68</x:v>
      </x:c>
      <x:c r="J11" s="14" t="n">
        <x:v>92</x:v>
      </x:c>
      <x:c r="K11" s="14" t="n">
        <x:v>86</x:v>
      </x:c>
      <x:c r="L11" s="14" t="str">
        <x:v>AEO 공백 큰 제조/시공사 후보</x:v>
      </x:c>
      <x:c r="M11" s="14" t="str">
        <x:v>공식사이트/연락처/최근사례 확인</x:v>
      </x:c>
      <x:c r="N11" s="14" t="str">
        <x:v>https://sdeck.co.kr/</x:v>
      </x:c>
      <x:c r="O11" s="14" t="str">
        <x:v>RHY-048</x:v>
      </x:c>
    </x:row>
    <x:row r="12" ht="46" customHeight="1">
      <x:c r="A12" s="14" t="n">
        <x:v>11</x:v>
      </x:c>
      <x:c r="B12" s="14" t="str">
        <x:v>NOW-1</x:v>
      </x:c>
      <x:c r="C12" s="14" t="n">
        <x:v>84</x:v>
      </x:c>
      <x:c r="D12" s="14" t="str">
        <x:v>주식회사 큐</x:v>
      </x:c>
      <x:c r="E12" s="14" t="str">
        <x:v>퍼걸러·놀이·부스·컨테이너</x:v>
      </x:c>
      <x:c r="F12" s="14" t="str">
        <x:v>033-458-2313</x:v>
      </x:c>
      <x:c r="G12" s="14" t="str">
        <x:v>corporationq@naver.com</x:v>
      </x:c>
      <x:c r="H12" s="14" t="str">
        <x:v>전화+이메일+견적문의</x:v>
      </x:c>
      <x:c r="I12" s="14" t="n">
        <x:v>62</x:v>
      </x:c>
      <x:c r="J12" s="14" t="n">
        <x:v>95</x:v>
      </x:c>
      <x:c r="K12" s="14" t="n">
        <x:v>96</x:v>
      </x:c>
      <x:c r="L12" s="14" t="str">
        <x:v>RHINORY 여러 카테고리 일괄 공급 협상 후보</x:v>
      </x:c>
      <x:c r="M12" s="14" t="str">
        <x:v>공식사이트/연락처 확인</x:v>
      </x:c>
      <x:c r="N12" s="14" t="str">
        <x:v>https://q22.co.kr/</x:v>
      </x:c>
      <x:c r="O12" s="14" t="str">
        <x:v>RHY-054</x:v>
      </x:c>
    </x:row>
    <x:row r="13" ht="46" customHeight="1">
      <x:c r="A13" s="14" t="n">
        <x:v>12</x:v>
      </x:c>
      <x:c r="B13" s="14" t="str">
        <x:v>NOW-1</x:v>
      </x:c>
      <x:c r="C13" s="14" t="n">
        <x:v>84</x:v>
      </x:c>
      <x:c r="D13" s="14" t="str">
        <x:v>세움휀스개발</x:v>
      </x:c>
      <x:c r="E13" s="14" t="str">
        <x:v>휀스 자재·시공</x:v>
      </x:c>
      <x:c r="F13" s="14" t="str">
        <x:v>031-691-5055 / 010-9270-5055</x:v>
      </x:c>
      <x:c r="G13" s="14" t="str">
        <x:v>seumfence@naver.com</x:v>
      </x:c>
      <x:c r="H13" s="14" t="str">
        <x:v>전화+이메일</x:v>
      </x:c>
      <x:c r="I13" s="14" t="n">
        <x:v>76</x:v>
      </x:c>
      <x:c r="J13" s="14" t="n">
        <x:v>91</x:v>
      </x:c>
      <x:c r="K13" s="14" t="n">
        <x:v>76</x:v>
      </x:c>
      <x:c r="L13" s="14" t="str">
        <x:v>B2B 시공업체를 B2C 전원주택 리드로 연결</x:v>
      </x:c>
      <x:c r="M13" s="14" t="str">
        <x:v>공식사이트/연락처 확인</x:v>
      </x:c>
      <x:c r="N13" s="14" t="str">
        <x:v>https://www.seumfence.co.kr/</x:v>
      </x:c>
      <x:c r="O13" s="14" t="str">
        <x:v>RHY-003</x:v>
      </x:c>
    </x:row>
    <x:row r="14" ht="46" customHeight="1">
      <x:c r="A14" s="14" t="n">
        <x:v>13</x:v>
      </x:c>
      <x:c r="B14" s="14" t="str">
        <x:v>NOW-1</x:v>
      </x:c>
      <x:c r="C14" s="14" t="n">
        <x:v>84</x:v>
      </x:c>
      <x:c r="D14" s="14" t="str">
        <x:v>플랜휴(PLANHU)</x:v>
      </x:c>
      <x:c r="E14" s="14" t="str">
        <x:v>파고라·퍼걸러</x:v>
      </x:c>
      <x:c r="F14" s="14" t="str">
        <x:v>033-764-7909</x:v>
      </x:c>
      <x:c r="G14" s="14" t="str">
        <x:v>planhu@naver.com</x:v>
      </x:c>
      <x:c r="H14" s="14" t="str">
        <x:v>전화+이메일</x:v>
      </x:c>
      <x:c r="I14" s="14" t="n">
        <x:v>82</x:v>
      </x:c>
      <x:c r="J14" s="14" t="n">
        <x:v>88</x:v>
      </x:c>
      <x:c r="K14" s="14" t="n">
        <x:v>70</x:v>
      </x:c>
      <x:c r="L14" s="14" t="str">
        <x:v>주택용 디자인 파고라 라인 재구성 제안</x:v>
      </x:c>
      <x:c r="M14" s="14" t="str">
        <x:v>공식사이트/연락처 확인</x:v>
      </x:c>
      <x:c r="N14" s="14" t="str">
        <x:v>https://planhu.com/</x:v>
      </x:c>
      <x:c r="O14" s="14" t="str">
        <x:v>RHY-055</x:v>
      </x:c>
    </x:row>
    <x:row r="15" ht="46" customHeight="1">
      <x:c r="A15" s="14" t="n">
        <x:v>14</x:v>
      </x:c>
      <x:c r="B15" s="14" t="str">
        <x:v>NOW-1</x:v>
      </x:c>
      <x:c r="C15" s="14" t="n">
        <x:v>83</x:v>
      </x:c>
      <x:c r="D15" s="14" t="str">
        <x:v>(주)유에스씨</x:v>
      </x:c>
      <x:c r="E15" s="14" t="str">
        <x:v>합성목재·데크·사이딩</x:v>
      </x:c>
      <x:c r="F15" s="14" t="str">
        <x:v>032-715-8120 / 032-715-8183</x:v>
      </x:c>
      <x:c r="G15" s="14" t="str">
        <x:v>sales@uscgroup.co.kr</x:v>
      </x:c>
      <x:c r="H15" s="14" t="str">
        <x:v>전화+이메일</x:v>
      </x:c>
      <x:c r="I15" s="14" t="n">
        <x:v>65</x:v>
      </x:c>
      <x:c r="J15" s="14" t="n">
        <x:v>92</x:v>
      </x:c>
      <x:c r="K15" s="14" t="n">
        <x:v>92</x:v>
      </x:c>
      <x:c r="L15" s="14" t="str">
        <x:v>데크+사이딩+난간 묶음 공급 파트너</x:v>
      </x:c>
      <x:c r="M15" s="14" t="str">
        <x:v>공식사이트/연락처 확인</x:v>
      </x:c>
      <x:c r="N15" s="14" t="str">
        <x:v>https://www.uscjk.co.kr/</x:v>
      </x:c>
      <x:c r="O15" s="14" t="str">
        <x:v>RHY-047</x:v>
      </x:c>
    </x:row>
    <x:row r="16" ht="46" customHeight="1">
      <x:c r="A16" s="14" t="n">
        <x:v>15</x:v>
      </x:c>
      <x:c r="B16" s="14" t="str">
        <x:v>NOW-1</x:v>
      </x:c>
      <x:c r="C16" s="14" t="n">
        <x:v>83</x:v>
      </x:c>
      <x:c r="D16" s="14" t="str">
        <x:v>에코랜드</x:v>
      </x:c>
      <x:c r="E16" s="14" t="str">
        <x:v>반려동물 놀이터시설</x:v>
      </x:c>
      <x:c r="F16" s="14" t="str">
        <x:v>031-403-7071</x:v>
      </x:c>
      <x:c r="G16" s="14" t="str">
        <x:v>srs2002@empas.com</x:v>
      </x:c>
      <x:c r="H16" s="14" t="str">
        <x:v>전화+이메일</x:v>
      </x:c>
      <x:c r="I16" s="14" t="n">
        <x:v>65</x:v>
      </x:c>
      <x:c r="J16" s="14" t="n">
        <x:v>94</x:v>
      </x:c>
      <x:c r="K16" s="14" t="n">
        <x:v>82</x:v>
      </x:c>
      <x:c r="L16" s="14" t="str">
        <x:v>전원주택용 미니 펫놀이터 패키지로 재구성</x:v>
      </x:c>
      <x:c r="M16" s="14" t="str">
        <x:v>공식사이트/연락처/활동 확인</x:v>
      </x:c>
      <x:c r="N16" s="14" t="str">
        <x:v>https://eco-land.kr/</x:v>
      </x:c>
      <x:c r="O16" s="14" t="str">
        <x:v>RHY-086</x:v>
      </x:c>
    </x:row>
    <x:row r="17" ht="46" customHeight="1">
      <x:c r="A17" s="14" t="n">
        <x:v>16</x:v>
      </x:c>
      <x:c r="B17" s="14" t="str">
        <x:v>NOW-1</x:v>
      </x:c>
      <x:c r="C17" s="14" t="n">
        <x:v>83</x:v>
      </x:c>
      <x:c r="D17" s="14" t="str">
        <x:v>성보하이드로엔지니어링</x:v>
      </x:c>
      <x:c r="E17" s="14" t="str">
        <x:v>산업용 고압세척기</x:v>
      </x:c>
      <x:c r="F17" s="14" t="str">
        <x:v>02-2694-7881</x:v>
      </x:c>
      <x:c r="G17" s="14" t="str">
        <x:v>sungbo@sungbohe.co.kr</x:v>
      </x:c>
      <x:c r="H17" s="14" t="str">
        <x:v>전화+이메일+A/S</x:v>
      </x:c>
      <x:c r="I17" s="14" t="n">
        <x:v>66</x:v>
      </x:c>
      <x:c r="J17" s="14" t="n">
        <x:v>97</x:v>
      </x:c>
      <x:c r="K17" s="14" t="n">
        <x:v>72</x:v>
      </x:c>
      <x:c r="L17" s="14" t="str">
        <x:v>제품력 강하고 AEO 공백 큼. 주택관리용 라인 다운셀 협의</x:v>
      </x:c>
      <x:c r="M17" s="14" t="str">
        <x:v>공식사이트/연락처 확인</x:v>
      </x:c>
      <x:c r="N17" s="14" t="str">
        <x:v>https://sungbohe.co.kr/</x:v>
      </x:c>
      <x:c r="O17" s="14" t="str">
        <x:v>RHY-074</x:v>
      </x:c>
    </x:row>
    <x:row r="18" ht="46" customHeight="1">
      <x:c r="A18" s="14" t="n">
        <x:v>17</x:v>
      </x:c>
      <x:c r="B18" s="14" t="str">
        <x:v>NOW-1</x:v>
      </x:c>
      <x:c r="C18" s="14" t="n">
        <x:v>83</x:v>
      </x:c>
      <x:c r="D18" s="14" t="str">
        <x:v>사우나월드</x:v>
      </x:c>
      <x:c r="E18" s="14" t="str">
        <x:v>가정용 사우나캐빈</x:v>
      </x:c>
      <x:c r="F18" s="14" t="str">
        <x:v>031-767-6489</x:v>
      </x:c>
      <x:c r="G18" s="14" t="str">
        <x:v>saunaworld@naver.com</x:v>
      </x:c>
      <x:c r="H18" s="14" t="str">
        <x:v>전화+이메일</x:v>
      </x:c>
      <x:c r="I18" s="14" t="n">
        <x:v>72</x:v>
      </x:c>
      <x:c r="J18" s="14" t="n">
        <x:v>94</x:v>
      </x:c>
      <x:c r="K18" s="14" t="n">
        <x:v>70</x:v>
      </x:c>
      <x:c r="L18" s="14" t="str">
        <x:v>전원주택 웰니스 고마진 상품으로 우선 검토</x:v>
      </x:c>
      <x:c r="M18" s="14" t="str">
        <x:v>공식사이트/연락처 확인</x:v>
      </x:c>
      <x:c r="N18" s="14" t="str">
        <x:v>https://www.saunaworld.co.kr/</x:v>
      </x:c>
      <x:c r="O18" s="14" t="str">
        <x:v>RHY-062</x:v>
      </x:c>
    </x:row>
    <x:row r="19" ht="46" customHeight="1">
      <x:c r="A19" s="14" t="n">
        <x:v>18</x:v>
      </x:c>
      <x:c r="B19" s="14" t="str">
        <x:v>NOW-1</x:v>
      </x:c>
      <x:c r="C19" s="14" t="n">
        <x:v>83</x:v>
      </x:c>
      <x:c r="D19" s="14" t="str">
        <x:v>한국조경건설</x:v>
      </x:c>
      <x:c r="E19" s="14" t="str">
        <x:v>어린이놀이시설</x:v>
      </x:c>
      <x:c r="F19" s="14" t="str">
        <x:v>032-563-9264</x:v>
      </x:c>
      <x:c r="G19" s="14" t="str">
        <x:v>hkland1@naver.com</x:v>
      </x:c>
      <x:c r="H19" s="14" t="str">
        <x:v>전화+이메일</x:v>
      </x:c>
      <x:c r="I19" s="14" t="n">
        <x:v>72</x:v>
      </x:c>
      <x:c r="J19" s="14" t="n">
        <x:v>91</x:v>
      </x:c>
      <x:c r="K19" s="14" t="n">
        <x:v>76</x:v>
      </x:c>
      <x:c r="L19" s="14" t="str">
        <x:v>주택용 소형 놀이시설 라인 가능성 확인</x:v>
      </x:c>
      <x:c r="M19" s="14" t="str">
        <x:v>공식사이트/연락처 확인</x:v>
      </x:c>
      <x:c r="N19" s="14" t="str">
        <x:v>https://www.hkland.co.kr/</x:v>
      </x:c>
      <x:c r="O19" s="14" t="str">
        <x:v>RHY-088</x:v>
      </x:c>
    </x:row>
    <x:row r="20" ht="46" customHeight="1">
      <x:c r="A20" s="14" t="n">
        <x:v>19</x:v>
      </x:c>
      <x:c r="B20" s="14" t="str">
        <x:v>NOW-1</x:v>
      </x:c>
      <x:c r="C20" s="14" t="n">
        <x:v>83</x:v>
      </x:c>
      <x:c r="D20" s="14" t="str">
        <x:v>(주)아름철강</x:v>
      </x:c>
      <x:c r="E20" s="14" t="str">
        <x:v>조립식창고·경량철골</x:v>
      </x:c>
      <x:c r="F20" s="14" t="str">
        <x:v>031-554-3323</x:v>
      </x:c>
      <x:c r="G20" s="14" t="str">
        <x:v>arst@daum.net</x:v>
      </x:c>
      <x:c r="H20" s="14" t="str">
        <x:v>영업부 전화+이메일</x:v>
      </x:c>
      <x:c r="I20" s="14" t="n">
        <x:v>76</x:v>
      </x:c>
      <x:c r="J20" s="14" t="n">
        <x:v>88</x:v>
      </x:c>
      <x:c r="K20" s="14" t="n">
        <x:v>76</x:v>
      </x:c>
      <x:c r="L20" s="14" t="str">
        <x:v>중대형 창고/차고 견적형 상품으로 전환</x:v>
      </x:c>
      <x:c r="M20" s="14" t="str">
        <x:v>공식 검색색인/연락처 확인; 웹접속 이슈 관찰</x:v>
      </x:c>
      <x:c r="N20" s="14" t="str">
        <x:v>https://www.arst.co.kr/</x:v>
      </x:c>
      <x:c r="O20" s="14" t="str">
        <x:v>RHY-030</x:v>
      </x:c>
    </x:row>
    <x:row r="21" ht="46" customHeight="1">
      <x:c r="A21" s="14" t="n">
        <x:v>20</x:v>
      </x:c>
      <x:c r="B21" s="14" t="str">
        <x:v>NOW-1</x:v>
      </x:c>
      <x:c r="C21" s="14" t="n">
        <x:v>82</x:v>
      </x:c>
      <x:c r="D21" s="14" t="str">
        <x:v>(주)주원창호</x:v>
      </x:c>
      <x:c r="E21" s="14" t="str">
        <x:v>어닝 부속·차양</x:v>
      </x:c>
      <x:c r="F21" s="14" t="str">
        <x:v>031-997-7426</x:v>
      </x:c>
      <x:c r="G21" s="14" t="str">
        <x:v>juwonjd@naver.com</x:v>
      </x:c>
      <x:c r="H21" s="14" t="str">
        <x:v>전화+이메일+FAQ</x:v>
      </x:c>
      <x:c r="I21" s="14" t="n">
        <x:v>64</x:v>
      </x:c>
      <x:c r="J21" s="14" t="n">
        <x:v>95</x:v>
      </x:c>
      <x:c r="K21" s="14" t="n">
        <x:v>74</x:v>
      </x:c>
      <x:c r="L21" s="14" t="str">
        <x:v>완제품/OEM 가능성 확인 가치 높음</x:v>
      </x:c>
      <x:c r="M21" s="14" t="str">
        <x:v>공식사이트/연락처 확인</x:v>
      </x:c>
      <x:c r="N21" s="14" t="str">
        <x:v>https://juwonchangho.com/</x:v>
      </x:c>
      <x:c r="O21" s="14" t="str">
        <x:v>RHY-043</x:v>
      </x:c>
    </x:row>
    <x:row r="22" ht="46" customHeight="1">
      <x:c r="A22" s="14" t="n">
        <x:v>21</x:v>
      </x:c>
      <x:c r="B22" s="14" t="str">
        <x:v>NOW-1</x:v>
      </x:c>
      <x:c r="C22" s="14" t="n">
        <x:v>82</x:v>
      </x:c>
      <x:c r="D22" s="14" t="str">
        <x:v>(주)에스이앤씨</x:v>
      </x:c>
      <x:c r="E22" s="14" t="str">
        <x:v>에코어닝</x:v>
      </x:c>
      <x:c r="F22" s="14" t="str">
        <x:v>031-767-8779</x:v>
      </x:c>
      <x:c r="G22" s="14" t="str">
        <x:v>sunbaraenc@naver.com</x:v>
      </x:c>
      <x:c r="H22" s="14" t="str">
        <x:v>전화+이메일</x:v>
      </x:c>
      <x:c r="I22" s="14" t="n">
        <x:v>75</x:v>
      </x:c>
      <x:c r="J22" s="14" t="n">
        <x:v>88</x:v>
      </x:c>
      <x:c r="K22" s="14" t="n">
        <x:v>70</x:v>
      </x:c>
      <x:c r="L22" s="14" t="str">
        <x:v>전원주택용 전동어닝 SKU/설치 제휴</x:v>
      </x:c>
      <x:c r="M22" s="14" t="str">
        <x:v>공식사이트/연락처 확인</x:v>
      </x:c>
      <x:c r="N22" s="14" t="str">
        <x:v>https://sunbaraenc.com/</x:v>
      </x:c>
      <x:c r="O22" s="14" t="str">
        <x:v>RHY-042</x:v>
      </x:c>
    </x:row>
    <x:row r="23" ht="46" customHeight="1">
      <x:c r="A23" s="14" t="n">
        <x:v>22</x:v>
      </x:c>
      <x:c r="B23" s="14" t="str">
        <x:v>NOW-2</x:v>
      </x:c>
      <x:c r="C23" s="14" t="n">
        <x:v>83</x:v>
      </x:c>
      <x:c r="D23" s="14" t="str">
        <x:v>의정부휀스울타리</x:v>
      </x:c>
      <x:c r="E23" s="14" t="str">
        <x:v>메쉬·디자인목재휀스</x:v>
      </x:c>
      <x:c r="F23" s="14" t="str">
        <x:v>031-852-6395 / 010-8098-0470</x:v>
      </x:c>
      <x:c r="G23" s="14" t="str"/>
      <x:c r="H23" s="14" t="str">
        <x:v>전화</x:v>
      </x:c>
      <x:c r="I23" s="14" t="n">
        <x:v>90</x:v>
      </x:c>
      <x:c r="J23" s="14" t="n">
        <x:v>85</x:v>
      </x:c>
      <x:c r="K23" s="14" t="n">
        <x:v>76</x:v>
      </x:c>
      <x:c r="L23" s="14" t="str">
        <x:v>지역 시공사 네트워크 후보 + 표준 견적 콘텐츠</x:v>
      </x:c>
      <x:c r="M23" s="14" t="str">
        <x:v>공식사이트/전화 확인</x:v>
      </x:c>
      <x:c r="N23" s="14" t="str">
        <x:v>https://ilsin04.co.kr/base/fence/ujbfence/01.php?com_board_category_code=c1</x:v>
      </x:c>
      <x:c r="O23" s="14" t="str">
        <x:v>RHY-010</x:v>
      </x:c>
    </x:row>
    <x:row r="24" ht="46" customHeight="1">
      <x:c r="A24" s="14" t="n">
        <x:v>23</x:v>
      </x:c>
      <x:c r="B24" s="14" t="str">
        <x:v>NOW-2</x:v>
      </x:c>
      <x:c r="C24" s="14" t="n">
        <x:v>81</x:v>
      </x:c>
      <x:c r="D24" s="14" t="str">
        <x:v>(주)미소조경</x:v>
      </x:c>
      <x:c r="E24" s="14" t="str">
        <x:v>놀이터·분리수거장·휀스</x:v>
      </x:c>
      <x:c r="F24" s="14" t="str">
        <x:v>031-544-9596</x:v>
      </x:c>
      <x:c r="G24" s="14" t="str">
        <x:v>smilemiso1420@nate.com</x:v>
      </x:c>
      <x:c r="H24" s="14" t="str">
        <x:v>전화+이메일+온라인상담</x:v>
      </x:c>
      <x:c r="I24" s="14" t="n">
        <x:v>56</x:v>
      </x:c>
      <x:c r="J24" s="14" t="n">
        <x:v>93</x:v>
      </x:c>
      <x:c r="K24" s="14" t="n">
        <x:v>94</x:v>
      </x:c>
      <x:c r="L24" s="14" t="str">
        <x:v>펫/키즈/편의시설 멀티 공급사 후보</x:v>
      </x:c>
      <x:c r="M24" s="14" t="str">
        <x:v>공식사이트/연락처 확인</x:v>
      </x:c>
      <x:c r="N24" s="14" t="str">
        <x:v>https://www.smilemiso.net/</x:v>
      </x:c>
      <x:c r="O24" s="14" t="str">
        <x:v>RHY-087</x:v>
      </x:c>
    </x:row>
    <x:row r="25" ht="46" customHeight="1">
      <x:c r="A25" s="14" t="n">
        <x:v>24</x:v>
      </x:c>
      <x:c r="B25" s="14" t="str">
        <x:v>NOW-2</x:v>
      </x:c>
      <x:c r="C25" s="14" t="n">
        <x:v>81</x:v>
      </x:c>
      <x:c r="D25" s="14" t="str">
        <x:v>워터케이</x:v>
      </x:c>
      <x:c r="E25" s="14" t="str">
        <x:v>수영장·수처리</x:v>
      </x:c>
      <x:c r="F25" s="14" t="str">
        <x:v>031-411-7445 / 031-403-7445</x:v>
      </x:c>
      <x:c r="G25" s="14" t="str">
        <x:v>waterk7445@naver.com</x:v>
      </x:c>
      <x:c r="H25" s="14" t="str">
        <x:v>전화+이메일+온라인문의</x:v>
      </x:c>
      <x:c r="I25" s="14" t="n">
        <x:v>62</x:v>
      </x:c>
      <x:c r="J25" s="14" t="n">
        <x:v>94</x:v>
      </x:c>
      <x:c r="K25" s="14" t="n">
        <x:v>80</x:v>
      </x:c>
      <x:c r="L25" s="14" t="str">
        <x:v>전원주택 수영장 표준패키지/견적 리드 파트너</x:v>
      </x:c>
      <x:c r="M25" s="14" t="str">
        <x:v>공식사이트/연락처 확인</x:v>
      </x:c>
      <x:c r="N25" s="14" t="str">
        <x:v>https://waterk.co.kr/</x:v>
      </x:c>
      <x:c r="O25" s="14" t="str">
        <x:v>RHY-056</x:v>
      </x:c>
    </x:row>
    <x:row r="26" ht="46" customHeight="1">
      <x:c r="A26" s="14" t="n">
        <x:v>25</x:v>
      </x:c>
      <x:c r="B26" s="14" t="str">
        <x:v>NOW-2</x:v>
      </x:c>
      <x:c r="C26" s="14" t="n">
        <x:v>81</x:v>
      </x:c>
      <x:c r="D26" s="14" t="str">
        <x:v>지티에스</x:v>
      </x:c>
      <x:c r="E26" s="14" t="str">
        <x:v>합성목재·데크</x:v>
      </x:c>
      <x:c r="F26" s="14" t="str">
        <x:v>033-345-9087</x:v>
      </x:c>
      <x:c r="G26" s="14" t="str">
        <x:v>zts3117@naver.com</x:v>
      </x:c>
      <x:c r="H26" s="14" t="str">
        <x:v>전화+이메일</x:v>
      </x:c>
      <x:c r="I26" s="14" t="n">
        <x:v>63</x:v>
      </x:c>
      <x:c r="J26" s="14" t="n">
        <x:v>94</x:v>
      </x:c>
      <x:c r="K26" s="14" t="n">
        <x:v>78</x:v>
      </x:c>
      <x:c r="L26" s="14" t="str">
        <x:v>데크재 공급가/OEM/전국 배송 조건 확인</x:v>
      </x:c>
      <x:c r="M26" s="14" t="str">
        <x:v>공식사이트/연락처 확인</x:v>
      </x:c>
      <x:c r="N26" s="14" t="str">
        <x:v>https://zts.kr/</x:v>
      </x:c>
      <x:c r="O26" s="14" t="str">
        <x:v>RHY-045</x:v>
      </x:c>
    </x:row>
    <x:row r="27" ht="46" customHeight="1">
      <x:c r="A27" s="14" t="n">
        <x:v>26</x:v>
      </x:c>
      <x:c r="B27" s="14" t="str">
        <x:v>NOW-2</x:v>
      </x:c>
      <x:c r="C27" s="14" t="n">
        <x:v>81</x:v>
      </x:c>
      <x:c r="D27" s="14" t="str">
        <x:v>KDS</x:v>
      </x:c>
      <x:c r="E27" s="14" t="str">
        <x:v>무인택배시스템</x:v>
      </x:c>
      <x:c r="F27" s="14" t="str">
        <x:v>02-778-6920</x:v>
      </x:c>
      <x:c r="G27" s="14" t="str">
        <x:v>joys@k-d-s.co.kr</x:v>
      </x:c>
      <x:c r="H27" s="14" t="str">
        <x:v>전화+이메일</x:v>
      </x:c>
      <x:c r="I27" s="14" t="n">
        <x:v>70</x:v>
      </x:c>
      <x:c r="J27" s="14" t="n">
        <x:v>91</x:v>
      </x:c>
      <x:c r="K27" s="14" t="n">
        <x:v>70</x:v>
      </x:c>
      <x:c r="L27" s="14" t="str">
        <x:v>1~수세대용 미니 택배함 라인 전환 가능성 문의</x:v>
      </x:c>
      <x:c r="M27" s="14" t="str">
        <x:v>공식사이트/연락처 확인</x:v>
      </x:c>
      <x:c r="N27" s="14" t="str">
        <x:v>https://k-d-s.co.kr/</x:v>
      </x:c>
      <x:c r="O27" s="14" t="str">
        <x:v>RHY-024</x:v>
      </x:c>
    </x:row>
    <x:row r="28" ht="46" customHeight="1">
      <x:c r="A28" s="14" t="n">
        <x:v>27</x:v>
      </x:c>
      <x:c r="B28" s="14" t="str">
        <x:v>NOW-2</x:v>
      </x:c>
      <x:c r="C28" s="14" t="n">
        <x:v>80</x:v>
      </x:c>
      <x:c r="D28" s="14" t="str">
        <x:v>한도아쿠아</x:v>
      </x:c>
      <x:c r="E28" s="14" t="str">
        <x:v>수영장 여과·펌프·열교환</x:v>
      </x:c>
      <x:c r="F28" s="14" t="str">
        <x:v>051-315-8454~5 / 02-487-8454</x:v>
      </x:c>
      <x:c r="G28" s="14" t="str">
        <x:v>jeff.handoaqua@gmail.com</x:v>
      </x:c>
      <x:c r="H28" s="14" t="str">
        <x:v>전화+견적문의폼</x:v>
      </x:c>
      <x:c r="I28" s="14" t="n">
        <x:v>58</x:v>
      </x:c>
      <x:c r="J28" s="14" t="n">
        <x:v>95</x:v>
      </x:c>
      <x:c r="K28" s="14" t="n">
        <x:v>80</x:v>
      </x:c>
      <x:c r="L28" s="14" t="str">
        <x:v>수영장 유지관리 부품/장비 공급 파트너</x:v>
      </x:c>
      <x:c r="M28" s="14" t="str">
        <x:v>공식사이트/전화/문의폼 확인; 이메일은 공식SNS</x:v>
      </x:c>
      <x:c r="N28" s="14" t="str">
        <x:v>https://www.handoaqua.com/</x:v>
      </x:c>
      <x:c r="O28" s="14" t="str">
        <x:v>RHY-060</x:v>
      </x:c>
    </x:row>
    <x:row r="29" ht="46" customHeight="1">
      <x:c r="A29" s="14" t="n">
        <x:v>28</x:v>
      </x:c>
      <x:c r="B29" s="14" t="str">
        <x:v>NOW-2</x:v>
      </x:c>
      <x:c r="C29" s="14" t="n">
        <x:v>80</x:v>
      </x:c>
      <x:c r="D29" s="14" t="str">
        <x:v>베스트디지탈</x:v>
      </x:c>
      <x:c r="E29" s="14" t="str">
        <x:v>CCTV·NVR</x:v>
      </x:c>
      <x:c r="F29" s="14" t="str">
        <x:v>031-427-4660</x:v>
      </x:c>
      <x:c r="G29" s="14" t="str">
        <x:v>csh@bdvr.co.kr</x:v>
      </x:c>
      <x:c r="H29" s="14" t="str">
        <x:v>전화+이메일</x:v>
      </x:c>
      <x:c r="I29" s="14" t="n">
        <x:v>61</x:v>
      </x:c>
      <x:c r="J29" s="14" t="n">
        <x:v>94</x:v>
      </x:c>
      <x:c r="K29" s="14" t="n">
        <x:v>72</x:v>
      </x:c>
      <x:c r="L29" s="14" t="str">
        <x:v>주택용 CCTV 패키지 + 소비자 설명 콘텐츠 공동화</x:v>
      </x:c>
      <x:c r="M29" s="14" t="str">
        <x:v>공식사이트/연락처 확인</x:v>
      </x:c>
      <x:c r="N29" s="14" t="str">
        <x:v>https://www.bdvr.co.kr/</x:v>
      </x:c>
      <x:c r="O29" s="14" t="str">
        <x:v>RHY-032</x:v>
      </x:c>
    </x:row>
    <x:row r="30" ht="46" customHeight="1">
      <x:c r="A30" s="14" t="n">
        <x:v>29</x:v>
      </x:c>
      <x:c r="B30" s="14" t="str">
        <x:v>NOW-2</x:v>
      </x:c>
      <x:c r="C30" s="14" t="n">
        <x:v>80</x:v>
      </x:c>
      <x:c r="D30" s="14" t="str">
        <x:v>KJ게이트 / 금전금속</x:v>
      </x:c>
      <x:c r="E30" s="14" t="str">
        <x:v>맞춤대문·휀스</x:v>
      </x:c>
      <x:c r="F30" s="14" t="str">
        <x:v>031-992-2300 / 010-7578-2502</x:v>
      </x:c>
      <x:c r="G30" s="14" t="str">
        <x:v>onerio@daum.net</x:v>
      </x:c>
      <x:c r="H30" s="14" t="str">
        <x:v>전화+이메일</x:v>
      </x:c>
      <x:c r="I30" s="14" t="n">
        <x:v>66</x:v>
      </x:c>
      <x:c r="J30" s="14" t="n">
        <x:v>90</x:v>
      </x:c>
      <x:c r="K30" s="14" t="n">
        <x:v>72</x:v>
      </x:c>
      <x:c r="L30" s="14" t="str">
        <x:v>디자인 대문 컬렉션화 + 맞춤견적 연결</x:v>
      </x:c>
      <x:c r="M30" s="14" t="str">
        <x:v>공식사이트/연락처 확인</x:v>
      </x:c>
      <x:c r="N30" s="14" t="str">
        <x:v>https://kjgate.co.kr/</x:v>
      </x:c>
      <x:c r="O30" s="14" t="str">
        <x:v>RHY-008</x:v>
      </x:c>
    </x:row>
    <x:row r="31" ht="46" customHeight="1">
      <x:c r="A31" s="14" t="n">
        <x:v>30</x:v>
      </x:c>
      <x:c r="B31" s="14" t="str">
        <x:v>NOW-2</x:v>
      </x:c>
      <x:c r="C31" s="14" t="n">
        <x:v>79</x:v>
      </x:c>
      <x:c r="D31" s="14" t="str">
        <x:v>아이포스트</x:v>
      </x:c>
      <x:c r="E31" s="14" t="str">
        <x:v>우편함·택배보관함</x:v>
      </x:c>
      <x:c r="F31" s="14" t="str">
        <x:v>1522-8266 / 031-637-7374</x:v>
      </x:c>
      <x:c r="G31" s="14" t="str">
        <x:v>ehwa@ipost.or.kr</x:v>
      </x:c>
      <x:c r="H31" s="14" t="str">
        <x:v>전화+이메일+문의</x:v>
      </x:c>
      <x:c r="I31" s="14" t="n">
        <x:v>60</x:v>
      </x:c>
      <x:c r="J31" s="14" t="n">
        <x:v>94</x:v>
      </x:c>
      <x:c r="K31" s="14" t="n">
        <x:v>72</x:v>
      </x:c>
      <x:c r="L31" s="14" t="str">
        <x:v>RHINORY 전용 디자인 택배함/OEM 가능성 최우선 확인</x:v>
      </x:c>
      <x:c r="M31" s="14" t="str">
        <x:v>공식사이트/연락처 확인</x:v>
      </x:c>
      <x:c r="N31" s="14" t="str">
        <x:v>https://ipostehwa.co.kr/</x:v>
      </x:c>
      <x:c r="O31" s="14" t="str">
        <x:v>RHY-026</x:v>
      </x:c>
    </x:row>
    <x:row r="32" ht="46" customHeight="1">
      <x:c r="A32" s="14" t="n">
        <x:v>31</x:v>
      </x:c>
      <x:c r="B32" s="14" t="str">
        <x:v>NOW-2</x:v>
      </x:c>
      <x:c r="C32" s="14" t="n">
        <x:v>78</x:v>
      </x:c>
      <x:c r="D32" s="14" t="str">
        <x:v>상인농자재</x:v>
      </x:c>
      <x:c r="E32" s="14" t="str">
        <x:v>관수자재</x:v>
      </x:c>
      <x:c r="F32" s="14" t="str">
        <x:v>054-975-2454 / 010-2018-5224</x:v>
      </x:c>
      <x:c r="G32" s="14" t="str">
        <x:v>sanginmart@naver.com</x:v>
      </x:c>
      <x:c r="H32" s="14" t="str">
        <x:v>전화+이메일+쇼핑몰Q&amp;A</x:v>
      </x:c>
      <x:c r="I32" s="14" t="n">
        <x:v>60</x:v>
      </x:c>
      <x:c r="J32" s="14" t="n">
        <x:v>90</x:v>
      </x:c>
      <x:c r="K32" s="14" t="n">
        <x:v>72</x:v>
      </x:c>
      <x:c r="L32" s="14" t="str">
        <x:v>저가/중가 관수자재 묶음 공급처</x:v>
      </x:c>
      <x:c r="M32" s="14" t="str">
        <x:v>공식사이트/연락처 확인</x:v>
      </x:c>
      <x:c r="N32" s="14" t="str">
        <x:v>https://sanginmart.com/</x:v>
      </x:c>
      <x:c r="O32" s="14" t="str">
        <x:v>RHY-070</x:v>
      </x:c>
    </x:row>
    <x:row r="33" ht="46" customHeight="1">
      <x:c r="A33" s="14" t="n">
        <x:v>32</x:v>
      </x:c>
      <x:c r="B33" s="14" t="str">
        <x:v>NOW-2</x:v>
      </x:c>
      <x:c r="C33" s="14" t="n">
        <x:v>78</x:v>
      </x:c>
      <x:c r="D33" s="14" t="str">
        <x:v>아라게이트</x:v>
      </x:c>
      <x:c r="E33" s="14" t="str">
        <x:v>자동대문·프리미엄대문</x:v>
      </x:c>
      <x:c r="F33" s="14" t="str">
        <x:v>010-8019-0405</x:v>
      </x:c>
      <x:c r="G33" s="14" t="str">
        <x:v>cyj7701@naver.com</x:v>
      </x:c>
      <x:c r="H33" s="14" t="str">
        <x:v>전화+이메일+FAQ</x:v>
      </x:c>
      <x:c r="I33" s="14" t="n">
        <x:v>57</x:v>
      </x:c>
      <x:c r="J33" s="14" t="n">
        <x:v>94</x:v>
      </x:c>
      <x:c r="K33" s="14" t="n">
        <x:v>68</x:v>
      </x:c>
      <x:c r="L33" s="14" t="str">
        <x:v>자동대문 가격·옵션을 표준화해 RHINORY 견적리드 공급</x:v>
      </x:c>
      <x:c r="M33" s="14" t="str">
        <x:v>공식사이트/연락처/FAQ 확인</x:v>
      </x:c>
      <x:c r="N33" s="14" t="str">
        <x:v>https://xn--vk1b2p40pcxn.com/</x:v>
      </x:c>
      <x:c r="O33" s="14" t="str">
        <x:v>RHY-005</x:v>
      </x:c>
    </x:row>
    <x:row r="34" ht="46" customHeight="1">
      <x:c r="A34" s="14" t="n">
        <x:v>33</x:v>
      </x:c>
      <x:c r="B34" s="14" t="str">
        <x:v>NOW-2</x:v>
      </x:c>
      <x:c r="C34" s="14" t="n">
        <x:v>78</x:v>
      </x:c>
      <x:c r="D34" s="14" t="str">
        <x:v>이스트파워</x:v>
      </x:c>
      <x:c r="E34" s="14" t="str">
        <x:v>비상발전기</x:v>
      </x:c>
      <x:c r="F34" s="14" t="str">
        <x:v>031-943-3541</x:v>
      </x:c>
      <x:c r="G34" s="14" t="str">
        <x:v>eastpwr@eastpower.co.kr</x:v>
      </x:c>
      <x:c r="H34" s="14" t="str">
        <x:v>전화+이메일</x:v>
      </x:c>
      <x:c r="I34" s="14" t="n">
        <x:v>58</x:v>
      </x:c>
      <x:c r="J34" s="14" t="n">
        <x:v>94</x:v>
      </x:c>
      <x:c r="K34" s="14" t="n">
        <x:v>66</x:v>
      </x:c>
      <x:c r="L34" s="14" t="str">
        <x:v>전원주택 비상전원 소형화 가능성 문의</x:v>
      </x:c>
      <x:c r="M34" s="14" t="str">
        <x:v>공식사이트/연락처 확인</x:v>
      </x:c>
      <x:c r="N34" s="14" t="str">
        <x:v>https://eastpower.co.kr/</x:v>
      </x:c>
      <x:c r="O34" s="14" t="str">
        <x:v>RHY-081</x:v>
      </x:c>
    </x:row>
    <x:row r="35" ht="46" customHeight="1">
      <x:c r="A35" s="14" t="n">
        <x:v>34</x:v>
      </x:c>
      <x:c r="B35" s="14" t="str">
        <x:v>NOW-2</x:v>
      </x:c>
      <x:c r="C35" s="14" t="n">
        <x:v>78</x:v>
      </x:c>
      <x:c r="D35" s="14" t="str">
        <x:v>썬테크</x:v>
      </x:c>
      <x:c r="E35" s="14" t="str">
        <x:v>비상발전기</x:v>
      </x:c>
      <x:c r="F35" s="14" t="str">
        <x:v>061-721-2222 / 061-723-7272</x:v>
      </x:c>
      <x:c r="G35" s="14" t="str">
        <x:v>sun@sun-tech.co.kr</x:v>
      </x:c>
      <x:c r="H35" s="14" t="str">
        <x:v>전화+이메일</x:v>
      </x:c>
      <x:c r="I35" s="14" t="n">
        <x:v>63</x:v>
      </x:c>
      <x:c r="J35" s="14" t="n">
        <x:v>91</x:v>
      </x:c>
      <x:c r="K35" s="14" t="n">
        <x:v>62</x:v>
      </x:c>
      <x:c r="L35" s="14" t="str">
        <x:v>가정/소형 상업용 모델 존재 여부 확인</x:v>
      </x:c>
      <x:c r="M35" s="14" t="str">
        <x:v>공식사이트/연락처 확인</x:v>
      </x:c>
      <x:c r="N35" s="14" t="str">
        <x:v>https://www.sun-tech.co.kr/</x:v>
      </x:c>
      <x:c r="O35" s="14" t="str">
        <x:v>RHY-080</x:v>
      </x:c>
    </x:row>
    <x:row r="36" ht="46" customHeight="1">
      <x:c r="A36" s="14" t="n">
        <x:v>35</x:v>
      </x:c>
      <x:c r="B36" s="14" t="str">
        <x:v>NOW-2</x:v>
      </x:c>
      <x:c r="C36" s="14" t="n">
        <x:v>76</x:v>
      </x:c>
      <x:c r="D36" s="14" t="str">
        <x:v>현대휀스개발(주)</x:v>
      </x:c>
      <x:c r="E36" s="14" t="str">
        <x:v>휀스·울타리</x:v>
      </x:c>
      <x:c r="F36" s="14" t="str">
        <x:v>1899-5847</x:v>
      </x:c>
      <x:c r="G36" s="14" t="str"/>
      <x:c r="H36" s="14" t="str">
        <x:v>대표전화+홈페이지</x:v>
      </x:c>
      <x:c r="I36" s="14" t="n">
        <x:v>68</x:v>
      </x:c>
      <x:c r="J36" s="14" t="n">
        <x:v>88</x:v>
      </x:c>
      <x:c r="K36" s="14" t="n">
        <x:v>72</x:v>
      </x:c>
      <x:c r="L36" s="14" t="str">
        <x:v>RHINORY 전원주택 울타리 입점 + 설치/가격 콘텐츠 공동제작</x:v>
      </x:c>
      <x:c r="M36" s="14" t="str">
        <x:v>공식사이트/대표전화 확인</x:v>
      </x:c>
      <x:c r="N36" s="14" t="str">
        <x:v>https://hdfence.co.kr/</x:v>
      </x:c>
      <x:c r="O36" s="14" t="str">
        <x:v>RHY-001</x:v>
      </x:c>
    </x:row>
    <x:row r="37" ht="46" customHeight="1">
      <x:c r="A37" s="14" t="n">
        <x:v>36</x:v>
      </x:c>
      <x:c r="B37" s="14" t="str">
        <x:v>VERIFY</x:v>
      </x:c>
      <x:c r="C37" s="14" t="n">
        <x:v>81</x:v>
      </x:c>
      <x:c r="D37" s="14" t="str">
        <x:v>(주)미래테크</x:v>
      </x:c>
      <x:c r="E37" s="14" t="str">
        <x:v>소형 풍력발전</x:v>
      </x:c>
      <x:c r="F37" s="14" t="str">
        <x:v>051-466-7777</x:v>
      </x:c>
      <x:c r="G37" s="14" t="str"/>
      <x:c r="H37" s="14" t="str">
        <x:v>전화</x:v>
      </x:c>
      <x:c r="I37" s="14" t="n">
        <x:v>88</x:v>
      </x:c>
      <x:c r="J37" s="14" t="n">
        <x:v>86</x:v>
      </x:c>
      <x:c r="K37" s="14" t="n">
        <x:v>62</x:v>
      </x:c>
      <x:c r="L37" s="14" t="str">
        <x:v>차별화 에너지 상품, 현재 사업 지속여부 우선 확인</x:v>
      </x:c>
      <x:c r="M37" s="14" t="str">
        <x:v>최근 기사로 전화/사업 확인; 공식웹 재검증 필요</x:v>
      </x:c>
      <x:c r="N37" s="14" t="str">
        <x:v>https://gonggam.korea.kr/</x:v>
      </x:c>
      <x:c r="O37" s="14" t="str">
        <x:v>RHY-085</x:v>
      </x:c>
    </x:row>
    <x:row r="38" ht="46" customHeight="1">
      <x:c r="A38" s="14" t="n">
        <x:v>37</x:v>
      </x:c>
      <x:c r="B38" s="14" t="str">
        <x:v>LATER</x:v>
      </x:c>
      <x:c r="C38" s="14" t="n">
        <x:v>75</x:v>
      </x:c>
      <x:c r="D38" s="14" t="str">
        <x:v>뉴트랜드</x:v>
      </x:c>
      <x:c r="E38" s="14" t="str">
        <x:v>조립식/상업 수영장</x:v>
      </x:c>
      <x:c r="F38" s="14" t="str">
        <x:v>02-3452-9111</x:v>
      </x:c>
      <x:c r="G38" s="14" t="str">
        <x:v>newtrend94@naver.com</x:v>
      </x:c>
      <x:c r="H38" s="14" t="str">
        <x:v>전화+이메일</x:v>
      </x:c>
      <x:c r="I38" s="14" t="n">
        <x:v>52</x:v>
      </x:c>
      <x:c r="J38" s="14" t="n">
        <x:v>90</x:v>
      </x:c>
      <x:c r="K38" s="14" t="n">
        <x:v>72</x:v>
      </x:c>
      <x:c r="L38" s="14" t="str">
        <x:v>전원주택 적용 가능한 소형/조립식 라인 확인</x:v>
      </x:c>
      <x:c r="M38" s="14" t="str">
        <x:v>공식사이트/연락처 확인</x:v>
      </x:c>
      <x:c r="N38" s="14" t="str">
        <x:v>https://newtrend.co.kr/default/company/03.php?sub=5&amp;top=1</x:v>
      </x:c>
      <x:c r="O38" s="14" t="str">
        <x:v>RHY-058</x:v>
      </x:c>
    </x:row>
    <x:row r="39" ht="46" customHeight="1">
      <x:c r="A39" s="14" t="n">
        <x:v>38</x:v>
      </x:c>
      <x:c r="B39" s="14" t="str">
        <x:v>BENCHMARK</x:v>
      </x:c>
      <x:c r="C39" s="14" t="n">
        <x:v>78</x:v>
      </x:c>
      <x:c r="D39" s="14" t="str">
        <x:v>수상(수상엔지니어링)</x:v>
      </x:c>
      <x:c r="E39" s="14" t="str">
        <x:v>수영장·사우나·수처리</x:v>
      </x:c>
      <x:c r="F39" s="14" t="str">
        <x:v>02-837-8683~5</x:v>
      </x:c>
      <x:c r="G39" s="14" t="str"/>
      <x:c r="H39" s="14" t="str">
        <x:v>전화+견적문의폼</x:v>
      </x:c>
      <x:c r="I39" s="14" t="n">
        <x:v>48</x:v>
      </x:c>
      <x:c r="J39" s="14" t="n">
        <x:v>96</x:v>
      </x:c>
      <x:c r="K39" s="14" t="n">
        <x:v>96</x:v>
      </x:c>
      <x:c r="L39" s="14" t="str">
        <x:v>WATER/WELLNESS 통합 공급 최우선 후보</x:v>
      </x:c>
      <x:c r="M39" s="14" t="str">
        <x:v>공식사이트/전화/문의폼 확인</x:v>
      </x:c>
      <x:c r="N39" s="14" t="str">
        <x:v>https://susang.co.kr/</x:v>
      </x:c>
      <x:c r="O39" s="14" t="str">
        <x:v>RHY-059</x:v>
      </x:c>
    </x:row>
    <x:row r="40" ht="46" customHeight="1">
      <x:c r="A40" s="14" t="n">
        <x:v>39</x:v>
      </x:c>
      <x:c r="B40" s="14" t="str">
        <x:v>BENCHMARK</x:v>
      </x:c>
      <x:c r="C40" s="14" t="n">
        <x:v>73</x:v>
      </x:c>
      <x:c r="D40" s="14" t="str">
        <x:v>비반스 / 잇츠스마트팜</x:v>
      </x:c>
      <x:c r="E40" s="14" t="str">
        <x:v>무선 자동관수</x:v>
      </x:c>
      <x:c r="F40" s="14" t="str">
        <x:v>02-566-3110</x:v>
      </x:c>
      <x:c r="G40" s="14" t="str">
        <x:v>marketing@vivans.net</x:v>
      </x:c>
      <x:c r="H40" s="14" t="str">
        <x:v>전화+이메일</x:v>
      </x:c>
      <x:c r="I40" s="14" t="n">
        <x:v>45</x:v>
      </x:c>
      <x:c r="J40" s="14" t="n">
        <x:v>89</x:v>
      </x:c>
      <x:c r="K40" s="14" t="n">
        <x:v>75</x:v>
      </x:c>
      <x:c r="L40" s="14" t="str">
        <x:v>전원주택 정원용 간소화 제품 가능성 문의</x:v>
      </x:c>
      <x:c r="M40" s="14" t="str">
        <x:v>공식사이트/연락처 확인</x:v>
      </x:c>
      <x:c r="N40" s="14" t="str">
        <x:v>https://www.vivans.net/</x:v>
      </x:c>
      <x:c r="O40" s="14" t="str">
        <x:v>RHY-071</x:v>
      </x:c>
    </x:row>
    <x:row r="41" ht="46" customHeight="1">
      <x:c r="A41" s="14" t="n">
        <x:v>40</x:v>
      </x:c>
      <x:c r="B41" s="14" t="str">
        <x:v>BENCHMARK</x:v>
      </x:c>
      <x:c r="C41" s="14" t="n">
        <x:v>72</x:v>
      </x:c>
      <x:c r="D41" s="14" t="str">
        <x:v>리스퀘어</x:v>
      </x:c>
      <x:c r="E41" s="14" t="str">
        <x:v>아웃도어키친</x:v>
      </x:c>
      <x:c r="F41" s="14" t="str">
        <x:v>1600-7601</x:v>
      </x:c>
      <x:c r="G41" s="14" t="str">
        <x:v>16007601@lisquare.co.kr</x:v>
      </x:c>
      <x:c r="H41" s="14" t="str">
        <x:v>전화+이메일+예약상담</x:v>
      </x:c>
      <x:c r="I41" s="14" t="n">
        <x:v>42</x:v>
      </x:c>
      <x:c r="J41" s="14" t="n">
        <x:v>92</x:v>
      </x:c>
      <x:c r="K41" s="14" t="n">
        <x:v>68</x:v>
      </x:c>
      <x:c r="L41" s="14" t="str">
        <x:v>고객 로망형 고가상품: RHINORY 견적/콘텐츠에 적합</x:v>
      </x:c>
      <x:c r="M41" s="14" t="str">
        <x:v>공식사이트/연락처 확인</x:v>
      </x:c>
      <x:c r="N41" s="14" t="str">
        <x:v>https://lisquare.co.kr/direction</x:v>
      </x:c>
      <x:c r="O41" s="14" t="str">
        <x:v>RHY-051</x:v>
      </x:c>
    </x:row>
    <x:row r="42" ht="46" customHeight="1">
      <x:c r="A42" s="14" t="n">
        <x:v>41</x:v>
      </x:c>
      <x:c r="B42" s="14" t="str">
        <x:v>BENCHMARK</x:v>
      </x:c>
      <x:c r="C42" s="14" t="n">
        <x:v>69</x:v>
      </x:c>
      <x:c r="D42" s="14" t="str">
        <x:v>CNB Technology</x:v>
      </x:c>
      <x:c r="E42" s="14" t="str">
        <x:v>CCTV·DVR/NVR</x:v>
      </x:c>
      <x:c r="F42" s="14" t="str">
        <x:v>02-2624-2469</x:v>
      </x:c>
      <x:c r="G42" s="14" t="str">
        <x:v>cnbgtech@cnbtec.com</x:v>
      </x:c>
      <x:c r="H42" s="14" t="str">
        <x:v>전화+이메일+파트너문의</x:v>
      </x:c>
      <x:c r="I42" s="14" t="n">
        <x:v>42</x:v>
      </x:c>
      <x:c r="J42" s="14" t="n">
        <x:v>86</x:v>
      </x:c>
      <x:c r="K42" s="14" t="n">
        <x:v>68</x:v>
      </x:c>
      <x:c r="L42" s="14" t="str">
        <x:v>중저가 주택 CCTV 패키지/OEM 가능성 확인</x:v>
      </x:c>
      <x:c r="M42" s="14" t="str">
        <x:v>공식사이트/연락처 확인</x:v>
      </x:c>
      <x:c r="N42" s="14" t="str">
        <x:v>https://cnbtec.co.kr/</x:v>
      </x:c>
      <x:c r="O42" s="14" t="str">
        <x:v>RHY-034</x:v>
      </x:c>
    </x:row>
    <x:row r="43" ht="46" customHeight="1">
      <x:c r="A43" s="14" t="n">
        <x:v>42</x:v>
      </x:c>
      <x:c r="B43" s="14" t="str">
        <x:v>BENCHMARK</x:v>
      </x:c>
      <x:c r="C43" s="14" t="n">
        <x:v>67</x:v>
      </x:c>
      <x:c r="D43" s="14" t="str">
        <x:v>세연테크</x:v>
      </x:c>
      <x:c r="E43" s="14" t="str">
        <x:v>CCTV·비디오서버·VMS</x:v>
      </x:c>
      <x:c r="F43" s="14" t="str">
        <x:v>02-2192-6800</x:v>
      </x:c>
      <x:c r="G43" s="14" t="str">
        <x:v>sales@seyeon.co.kr</x:v>
      </x:c>
      <x:c r="H43" s="14" t="str">
        <x:v>전화+이메일+FAQ/매뉴얼</x:v>
      </x:c>
      <x:c r="I43" s="14" t="n">
        <x:v>32</x:v>
      </x:c>
      <x:c r="J43" s="14" t="n">
        <x:v>87</x:v>
      </x:c>
      <x:c r="K43" s="14" t="n">
        <x:v>72</x:v>
      </x:c>
      <x:c r="L43" s="14" t="str">
        <x:v>주택용 제품 존재 여부 확인 후 B2C 재포지셔닝 제안</x:v>
      </x:c>
      <x:c r="M43" s="14" t="str">
        <x:v>공식사이트/연락처/콘텐츠 확인</x:v>
      </x:c>
      <x:c r="N43" s="14" t="str">
        <x:v>https://flexwatch.co.kr/</x:v>
      </x:c>
      <x:c r="O43" s="14" t="str">
        <x:v>RHY-035</x:v>
      </x:c>
    </x:row>
  </x:sheetData>
  <x:conditionalFormatting sqref="C2:C4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{96BBEB3D-45DD-7455-FD50-98533FBDD086}</x14:id>
        </x:ext>
      </x:extLst>
    </x:cfRule>
  </x:conditionalFormatting>
  <x:conditionalFormatting sqref="B2:B43">
    <x:cfRule type="expression" dxfId="9" priority="2">
      <x:formula>B2="NOW-1"</x:formula>
    </x:cfRule>
    <x:cfRule type="expression" dxfId="10" priority="3">
      <x:formula>B2="NOW-2"</x:formula>
    </x:cfRule>
    <x:cfRule type="expression" dxfId="11" priority="4">
      <x:formula>B2="VERIFY"</x:formula>
    </x:cfRule>
    <x:cfRule type="expression" dxfId="12" priority="5">
      <x:formula>B2="BENCHMARK"</x:formula>
    </x:cfRule>
    <x:cfRule type="expression" dxfId="13" priority="6">
      <x:formula>B2="LATER"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9b9869b2484b5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6BBEB3D-45DD-7455-FD50-98533FBDD086}">
            <x14:dataBar gradient="1">
              <x14:cfvo type="min"/>
              <x14:cfvo type="max"/>
              <x14:fillColor rgb="FFA02B93"/>
            </x14:dataBar>
          </x14:cfRule>
          <xm:sqref>C2:C43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12" hidden="0" customWidth="1"/>
    <x:col min="4" max="4" width="22" hidden="0" customWidth="1"/>
    <x:col min="5" max="5" width="30" hidden="0" customWidth="1"/>
    <x:col min="6" max="6" width="22" hidden="0" customWidth="1"/>
    <x:col min="7" max="7" width="30" hidden="0" customWidth="1"/>
    <x:col min="8" max="8" width="42" hidden="0" customWidth="1"/>
    <x:col min="9" max="9" width="48" hidden="0" customWidth="1"/>
    <x:col min="10" max="10" width="15" hidden="0" customWidth="1"/>
    <x:col min="11" max="11" width="16" hidden="0" customWidth="1"/>
    <x:col min="12" max="12" width="44" hidden="0" customWidth="1"/>
  </x:cols>
  <x:sheetData>
    <x:row r="1">
      <x:c r="A1" s="60" t="str">
        <x:v>ID</x:v>
      </x:c>
      <x:c r="B1" s="60" t="str">
        <x:v>업체명</x:v>
      </x:c>
      <x:c r="C1" s="60" t="str">
        <x:v>소싱군</x:v>
      </x:c>
      <x:c r="D1" s="60" t="str">
        <x:v>카테고리</x:v>
      </x:c>
      <x:c r="E1" s="60" t="str">
        <x:v>상품</x:v>
      </x:c>
      <x:c r="F1" s="60" t="str">
        <x:v>전화</x:v>
      </x:c>
      <x:c r="G1" s="60" t="str">
        <x:v>이메일</x:v>
      </x:c>
      <x:c r="H1" s="60" t="str">
        <x:v>URL</x:v>
      </x:c>
      <x:c r="I1" s="60" t="str">
        <x:v>발굴근거</x:v>
      </x:c>
      <x:c r="J1" s="60" t="str">
        <x:v>예비 AEO기회</x:v>
      </x:c>
      <x:c r="K1" s="60" t="str">
        <x:v>상태</x:v>
      </x:c>
      <x:c r="L1" s="60" t="str">
        <x:v>다음 확인</x:v>
      </x:c>
    </x:row>
    <x:row r="2" ht="48" customHeight="1">
      <x:c r="A2" s="14" t="str">
        <x:v>NEW-001</x:v>
      </x:c>
      <x:c r="B2" s="14" t="str">
        <x:v>미성휀스건설(주)</x:v>
      </x:c>
      <x:c r="C2" s="14" t="str">
        <x:v>S01</x:v>
      </x:c>
      <x:c r="D2" s="14" t="str">
        <x:v>BOUNDARY,GATE</x:v>
      </x:c>
      <x:c r="E2" s="14" t="str">
        <x:v>휀스 직접생산·판매·시공</x:v>
      </x:c>
      <x:c r="F2" s="14" t="str">
        <x:v>031-666-2233</x:v>
      </x:c>
      <x:c r="G2" s="14" t="str">
        <x:v>msfence.hoyoung@gmail.com</x:v>
      </x:c>
      <x:c r="H2" s="14" t="str">
        <x:v>https://msfence.net/</x:v>
      </x:c>
      <x:c r="I2" s="14" t="str">
        <x:v>직접 생산/판매 전문, 공식 카탈로그/견적문의</x:v>
      </x:c>
      <x:c r="J2" s="14" t="str">
        <x:v>78</x:v>
      </x:c>
      <x:c r="K2" s="14" t="str">
        <x:v>A 후보</x:v>
      </x:c>
      <x:c r="L2" s="14" t="str">
        <x:v>기존 S01과 중복 비교 후 Master 편입</x:v>
      </x:c>
    </x:row>
    <x:row r="3" ht="48" customHeight="1">
      <x:c r="A3" s="14" t="str">
        <x:v>NEW-002</x:v>
      </x:c>
      <x:c r="B3" s="14" t="str">
        <x:v>동성휀스</x:v>
      </x:c>
      <x:c r="C3" s="14" t="str">
        <x:v>S01</x:v>
      </x:c>
      <x:c r="D3" s="14" t="str">
        <x:v>BOUNDARY,GATE</x:v>
      </x:c>
      <x:c r="E3" s="14" t="str">
        <x:v>휀스·철망</x:v>
      </x:c>
      <x:c r="F3" s="14" t="str">
        <x:v>031-949-4166</x:v>
      </x:c>
      <x:c r="G3" s="14" t="str"/>
      <x:c r="H3" s="14" t="str">
        <x:v>https://www.dsfence.kr/</x:v>
      </x:c>
      <x:c r="I3" s="14" t="str">
        <x:v>공식 업체/사업자·전화 확인</x:v>
      </x:c>
      <x:c r="J3" s="14" t="str">
        <x:v>86</x:v>
      </x:c>
      <x:c r="K3" s="14" t="str">
        <x:v>검증 후보</x:v>
      </x:c>
      <x:c r="L3" s="14" t="str">
        <x:v>이메일/제품군 상세 추가확인</x:v>
      </x:c>
    </x:row>
    <x:row r="4" ht="48" customHeight="1">
      <x:c r="A4" s="14" t="str">
        <x:v>NEW-003</x:v>
      </x:c>
      <x:c r="B4" s="14" t="str">
        <x:v>동성철망공업(주)</x:v>
      </x:c>
      <x:c r="C4" s="14" t="str">
        <x:v>S01</x:v>
      </x:c>
      <x:c r="D4" s="14" t="str">
        <x:v>BOUNDARY</x:v>
      </x:c>
      <x:c r="E4" s="14" t="str">
        <x:v>철망·메쉬</x:v>
      </x:c>
      <x:c r="F4" s="14" t="str">
        <x:v>031-491-1744</x:v>
      </x:c>
      <x:c r="G4" s="14" t="str">
        <x:v>ds4911744@naver.com</x:v>
      </x:c>
      <x:c r="H4" s="14" t="str">
        <x:v>https://www.dsmesh.co.kr/</x:v>
      </x:c>
      <x:c r="I4" s="14" t="str">
        <x:v>본사 연락처/이메일 공식 노출</x:v>
      </x:c>
      <x:c r="J4" s="14" t="str">
        <x:v>82</x:v>
      </x:c>
      <x:c r="K4" s="14" t="str">
        <x:v>A 후보</x:v>
      </x:c>
      <x:c r="L4" s="14" t="str">
        <x:v>주택용 제품 및 OEM/납품 가능성 확인</x:v>
      </x:c>
    </x:row>
    <x:row r="5" ht="48" customHeight="1">
      <x:c r="A5" s="14" t="str">
        <x:v>NEW-004</x:v>
      </x:c>
      <x:c r="B5" s="14" t="str">
        <x:v>주식회사 지안조경</x:v>
      </x:c>
      <x:c r="C5" s="14" t="str">
        <x:v>S05,S10</x:v>
      </x:c>
      <x:c r="D5" s="14" t="str">
        <x:v>OUTDOOR,BUILD</x:v>
      </x:c>
      <x:c r="E5" s="14" t="str">
        <x:v>퍼걸러·벤치·운동·놀이시설</x:v>
      </x:c>
      <x:c r="F5" s="14" t="str">
        <x:v>052-700-1700</x:v>
      </x:c>
      <x:c r="G5" s="14" t="str">
        <x:v>jian1700@naver.com</x:v>
      </x:c>
      <x:c r="H5" s="14" t="str">
        <x:v>https://www.jianland.co.kr/</x:v>
      </x:c>
      <x:c r="I5" s="14" t="str">
        <x:v>조경시설물 제작, 제품/포트폴리오/문의</x:v>
      </x:c>
      <x:c r="J5" s="14" t="str">
        <x:v>64</x:v>
      </x:c>
      <x:c r="K5" s="14" t="str">
        <x:v>공급 후보</x:v>
      </x:c>
      <x:c r="L5" s="14" t="str">
        <x:v>AEO보다는 멀티카테고리 제조/시설물 가치</x:v>
      </x:c>
    </x:row>
    <x:row r="6" ht="48" customHeight="1">
      <x:c r="A6" s="14" t="str">
        <x:v>NEW-005</x:v>
      </x:c>
      <x:c r="B6" s="14" t="str">
        <x:v>(주)아쿠아포르테</x:v>
      </x:c>
      <x:c r="C6" s="14" t="str">
        <x:v>S06</x:v>
      </x:c>
      <x:c r="D6" s="14" t="str">
        <x:v>WATER</x:v>
      </x:c>
      <x:c r="E6" s="14" t="str">
        <x:v>수영장 설계·시공</x:v>
      </x:c>
      <x:c r="F6" s="14" t="str">
        <x:v>044-867-7279</x:v>
      </x:c>
      <x:c r="G6" s="14" t="str"/>
      <x:c r="H6" s="14" t="str">
        <x:v>https://aquaforte.co.kr/</x:v>
      </x:c>
      <x:c r="I6" s="14" t="str">
        <x:v>국내 수영장 설계·시공 공식 사이트</x:v>
      </x:c>
      <x:c r="J6" s="14" t="str">
        <x:v>70</x:v>
      </x:c>
      <x:c r="K6" s="14" t="str">
        <x:v>검증 후보</x:v>
      </x:c>
      <x:c r="L6" s="14" t="str">
        <x:v>이메일 및 전원주택 소형풀 공급조건 확인</x:v>
      </x:c>
    </x:row>
    <x:row r="7" ht="48" customHeight="1">
      <x:c r="A7" s="14" t="str">
        <x:v>NEW-006</x:v>
      </x:c>
      <x:c r="B7" s="14" t="str">
        <x:v>화성휀스철망</x:v>
      </x:c>
      <x:c r="C7" s="14" t="str">
        <x:v>S01</x:v>
      </x:c>
      <x:c r="D7" s="14" t="str">
        <x:v>BOUNDARY,GATE</x:v>
      </x:c>
      <x:c r="E7" s="14" t="str">
        <x:v>휀스·철망</x:v>
      </x:c>
      <x:c r="F7" s="14" t="str">
        <x:v>010-7222-3743</x:v>
      </x:c>
      <x:c r="G7" s="14" t="str">
        <x:v>thit1004@naver.com</x:v>
      </x:c>
      <x:c r="H7" s="14" t="str">
        <x:v>https://hwasungfence.co.kr/</x:v>
      </x:c>
      <x:c r="I7" s="14" t="str">
        <x:v>공식 고객센터/이메일 확인</x:v>
      </x:c>
      <x:c r="J7" s="14" t="str">
        <x:v>88</x:v>
      </x:c>
      <x:c r="K7" s="14" t="str">
        <x:v>A 후보</x:v>
      </x:c>
      <x:c r="L7" s="14" t="str">
        <x:v>지역형 제조/시공 여부, 납품범위 확인</x:v>
      </x:c>
    </x:row>
  </x:sheetData>
  <x:pageMargins left="0.7" right="0.7" top="0.75" bottom="0.75" header="0.3" footer="0.3"/>
  <x:tableParts count="1">
    <x:tablePart xmlns:r="http://schemas.openxmlformats.org/officeDocument/2006/relationships" r:id="R94a11fce488945c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30" hidden="0" customWidth="1"/>
    <x:col min="5" max="5" width="26" hidden="0" customWidth="1"/>
    <x:col min="6" max="6" width="18" hidden="0" customWidth="1"/>
    <x:col min="7" max="7" width="45" hidden="0" customWidth="1"/>
    <x:col min="8" max="8" width="16" hidden="0" customWidth="1"/>
    <x:col min="9" max="9" width="48" hidden="0" customWidth="1"/>
    <x:col min="10" max="10" width="24" hidden="0" customWidth="1"/>
    <x:col min="11" max="11" width="30" hidden="0" customWidth="1"/>
    <x:col min="12" max="12" width="13" hidden="0" customWidth="1"/>
    <x:col min="13" max="13" width="15" hidden="0" customWidth="1"/>
    <x:col min="14" max="14" width="14" hidden="0" customWidth="1"/>
    <x:col min="15" max="15" width="15" hidden="0" customWidth="1"/>
    <x:col min="16" max="16" width="13" hidden="0" customWidth="1"/>
    <x:col min="17" max="17" width="20" hidden="0" customWidth="1"/>
    <x:col min="18" max="18" width="22" hidden="0" customWidth="1"/>
    <x:col min="19" max="19" width="48" hidden="0" customWidth="1"/>
    <x:col min="20" max="20" width="42" hidden="0" customWidth="1"/>
    <x:col min="21" max="21" width="13" hidden="0" customWidth="1"/>
  </x:cols>
  <x:sheetData>
    <x:row r="1" ht="38" customHeight="1">
      <x:c r="A1" s="81" t="str">
        <x:v>ID</x:v>
      </x:c>
      <x:c r="B1" s="81" t="str">
        <x:v>소싱군</x:v>
      </x:c>
      <x:c r="C1" s="81" t="str">
        <x:v>RHINORY 카테고리</x:v>
      </x:c>
      <x:c r="D1" s="81" t="str">
        <x:v>핵심 상품/서비스</x:v>
      </x:c>
      <x:c r="E1" s="81" t="str">
        <x:v>업체명</x:v>
      </x:c>
      <x:c r="F1" s="81" t="str">
        <x:v>업체 유형</x:v>
      </x:c>
      <x:c r="G1" s="81" t="str">
        <x:v>근거 URL</x:v>
      </x:c>
      <x:c r="H1" s="81" t="str">
        <x:v>소스 유형</x:v>
      </x:c>
      <x:c r="I1" s="81" t="str">
        <x:v>발굴 근거</x:v>
      </x:c>
      <x:c r="J1" s="81" t="str">
        <x:v>전화</x:v>
      </x:c>
      <x:c r="K1" s="81" t="str">
        <x:v>이메일</x:v>
      </x:c>
      <x:c r="L1" s="81" t="str">
        <x:v>Supplier Fit</x:v>
      </x:c>
      <x:c r="M1" s="81" t="str">
        <x:v>예비 AEO 기회</x:v>
      </x:c>
      <x:c r="N1" s="81" t="str">
        <x:v>신뢰도(1-5)</x:v>
      </x:c>
      <x:c r="O1" s="81" t="str">
        <x:v>Expansion Score</x:v>
      </x:c>
      <x:c r="P1" s="81" t="str">
        <x:v>확장 등급</x:v>
      </x:c>
      <x:c r="Q1" s="81" t="str">
        <x:v>중복검사</x:v>
      </x:c>
      <x:c r="R1" s="81" t="str">
        <x:v>검증상태</x:v>
      </x:c>
      <x:c r="S1" s="81" t="str">
        <x:v>추천 접근각도</x:v>
      </x:c>
      <x:c r="T1" s="81" t="str">
        <x:v>다음 확인사항</x:v>
      </x:c>
      <x:c r="U1" s="81" t="str">
        <x:v>최종확인일</x:v>
      </x:c>
    </x:row>
    <x:row r="2" ht="46" customHeight="1">
      <x:c r="A2" s="14" t="str">
        <x:v>EXP-001</x:v>
      </x:c>
      <x:c r="B2" s="14" t="str">
        <x:v>S01</x:v>
      </x:c>
      <x:c r="C2" s="14" t="str">
        <x:v>BOUNDARY,GATE</x:v>
      </x:c>
      <x:c r="D2" s="14" t="str">
        <x:v>자동대문·차고문·게이트</x:v>
      </x:c>
      <x:c r="E2" s="14" t="str">
        <x:v>효성게이트</x:v>
      </x:c>
      <x:c r="F2" s="14" t="str">
        <x:v>제작·설치</x:v>
      </x:c>
      <x:c r="G2" s="14" t="str">
        <x:v>https://www.hyosunggate.com/</x:v>
      </x:c>
      <x:c r="H2" s="14" t="str">
        <x:v>공식</x:v>
      </x:c>
      <x:c r="I2" s="14" t="str">
        <x:v>자동/수동 대문·오버헤드도어 계열 전문 업체</x:v>
      </x:c>
      <x:c r="J2" s="14" t="str"/>
      <x:c r="K2" s="14" t="str"/>
      <x:c r="L2" s="14" t="n">
        <x:v>92</x:v>
      </x:c>
      <x:c r="M2" s="14" t="n">
        <x:v>72</x:v>
      </x:c>
      <x:c r="N2" s="14" t="n">
        <x:v>5</x:v>
      </x:c>
      <x:c r="O2" s="14" t="n">
        <x:f>ROUND(L2*0.5+M2*0.3+(N2/5*100)*0.2,0)</x:f>
        <x:v>88</x:v>
      </x:c>
      <x:c r="P2" s="14" t="str">
        <x:f>IF(N2&lt;=2,"VERIFY",IF(AND(O2&gt;=82,N2&gt;=4),"E-A",IF(O2&gt;=74,"E-B","E-C")))</x:f>
        <x:v>E-A</x:v>
      </x:c>
      <x:c r="Q2" s="14" t="str">
        <x:v>기존 v2 제외 확인</x:v>
      </x:c>
      <x:c r="R2" s="14" t="str">
        <x:v>공식사이트 확인</x:v>
      </x:c>
      <x:c r="S2" s="14" t="str">
        <x:v>전원주택 게이트·차고문 묶음 견적 제휴</x:v>
      </x:c>
      <x:c r="T2" s="14" t="str">
        <x:v>도매/위탁·지역별 설치범위</x:v>
      </x:c>
      <x:c r="U2" s="14" t="str">
        <x:v>2026-08-13</x:v>
      </x:c>
    </x:row>
    <x:row r="3" ht="46" customHeight="1">
      <x:c r="A3" s="14" t="str">
        <x:v>EXP-002</x:v>
      </x:c>
      <x:c r="B3" s="14" t="str">
        <x:v>S01</x:v>
      </x:c>
      <x:c r="C3" s="14" t="str">
        <x:v>GATE</x:v>
      </x:c>
      <x:c r="D3" s="14" t="str">
        <x:v>맞춤 대문·슬라이딩/스윙게이트</x:v>
      </x:c>
      <x:c r="E3" s="14" t="str">
        <x:v>동진에이디</x:v>
      </x:c>
      <x:c r="F3" s="14" t="str">
        <x:v>제조·설치</x:v>
      </x:c>
      <x:c r="G3" s="14" t="str">
        <x:v>https://www.xn--2q1bjxg18a9qbsye.com/</x:v>
      </x:c>
      <x:c r="H3" s="14" t="str">
        <x:v>공식</x:v>
      </x:c>
      <x:c r="I3" s="14" t="str">
        <x:v>맞춤형 차고문·대문 제작/설치 전문</x:v>
      </x:c>
      <x:c r="J3" s="14" t="str"/>
      <x:c r="K3" s="14" t="str"/>
      <x:c r="L3" s="14" t="n">
        <x:v>92</x:v>
      </x:c>
      <x:c r="M3" s="14" t="n">
        <x:v>80</x:v>
      </x:c>
      <x:c r="N3" s="14" t="n">
        <x:v>4</x:v>
      </x:c>
      <x:c r="O3" s="14" t="n">
        <x:f>ROUND(L3*0.5+M3*0.3+(N3/5*100)*0.2,0)</x:f>
        <x:v>86</x:v>
      </x:c>
      <x:c r="P3" s="14" t="str">
        <x:f>IF(N3&lt;=2,"VERIFY",IF(AND(O3&gt;=82,N3&gt;=4),"E-A",IF(O3&gt;=74,"E-B","E-C")))</x:f>
        <x:v>E-A</x:v>
      </x:c>
      <x:c r="Q3" s="14" t="str">
        <x:v>기존 v2 제외 확인</x:v>
      </x:c>
      <x:c r="R3" s="14" t="str">
        <x:v>공식사이트 확인</x:v>
      </x:c>
      <x:c r="S3" s="14" t="str">
        <x:v>맞춤 디자인 대문을 RHINORY 컬렉션화</x:v>
      </x:c>
      <x:c r="T3" s="14" t="str">
        <x:v>직접제작 범위/OEM 가능성</x:v>
      </x:c>
      <x:c r="U3" s="14" t="str">
        <x:v>2026-08-13</x:v>
      </x:c>
    </x:row>
    <x:row r="4" ht="46" customHeight="1">
      <x:c r="A4" s="14" t="str">
        <x:v>EXP-003</x:v>
      </x:c>
      <x:c r="B4" s="14" t="str">
        <x:v>S01</x:v>
      </x:c>
      <x:c r="C4" s="14" t="str">
        <x:v>GATE</x:v>
      </x:c>
      <x:c r="D4" s="14" t="str">
        <x:v>자동대문</x:v>
      </x:c>
      <x:c r="E4" s="14" t="str">
        <x:v>동일자동도어</x:v>
      </x:c>
      <x:c r="F4" s="14" t="str">
        <x:v>제작·설치</x:v>
      </x:c>
      <x:c r="G4" s="14" t="str">
        <x:v>https://www.dongildoor.co.kr/about-us</x:v>
      </x:c>
      <x:c r="H4" s="14" t="str">
        <x:v>공식</x:v>
      </x:c>
      <x:c r="I4" s="14" t="str">
        <x:v>자동대문 전문 및 장기 업력 확인</x:v>
      </x:c>
      <x:c r="J4" s="14" t="str"/>
      <x:c r="K4" s="14" t="str"/>
      <x:c r="L4" s="14" t="n">
        <x:v>90</x:v>
      </x:c>
      <x:c r="M4" s="14" t="n">
        <x:v>70</x:v>
      </x:c>
      <x:c r="N4" s="14" t="n">
        <x:v>5</x:v>
      </x:c>
      <x:c r="O4" s="14" t="n">
        <x:f>ROUND(L4*0.5+M4*0.3+(N4/5*100)*0.2,0)</x:f>
        <x:v>86</x:v>
      </x:c>
      <x:c r="P4" s="14" t="str">
        <x:f>IF(N4&lt;=2,"VERIFY",IF(AND(O4&gt;=82,N4&gt;=4),"E-A",IF(O4&gt;=74,"E-B","E-C")))</x:f>
        <x:v>E-A</x:v>
      </x:c>
      <x:c r="Q4" s="14" t="str">
        <x:v>기존 v2 제외 확인</x:v>
      </x:c>
      <x:c r="R4" s="14" t="str">
        <x:v>공식사이트 확인</x:v>
      </x:c>
      <x:c r="S4" s="14" t="str">
        <x:v>자동대문 표준 옵션·가격 콘텐츠 협업</x:v>
      </x:c>
      <x:c r="T4" s="14" t="str">
        <x:v>주택 시공비/서비스 지역</x:v>
      </x:c>
      <x:c r="U4" s="14" t="str">
        <x:v>2026-08-13</x:v>
      </x:c>
    </x:row>
    <x:row r="5" ht="46" customHeight="1">
      <x:c r="A5" s="14" t="str">
        <x:v>EXP-004</x:v>
      </x:c>
      <x:c r="B5" s="14" t="str">
        <x:v>S01</x:v>
      </x:c>
      <x:c r="C5" s="14" t="str">
        <x:v>BOUNDARY</x:v>
      </x:c>
      <x:c r="D5" s="14" t="str">
        <x:v>휀스·울타리</x:v>
      </x:c>
      <x:c r="E5" s="14" t="str">
        <x:v>남영휀스</x:v>
      </x:c>
      <x:c r="F5" s="14" t="str">
        <x:v>제조·시공</x:v>
      </x:c>
      <x:c r="G5" s="14" t="str">
        <x:v>https://nyfc.kr/</x:v>
      </x:c>
      <x:c r="H5" s="14" t="str">
        <x:v>공식</x:v>
      </x:c>
      <x:c r="I5" s="14" t="str">
        <x:v>휀스 전문 업체로 제품/시공 페이지 운영</x:v>
      </x:c>
      <x:c r="J5" s="14" t="str"/>
      <x:c r="K5" s="14" t="str"/>
      <x:c r="L5" s="14" t="n">
        <x:v>88</x:v>
      </x:c>
      <x:c r="M5" s="14" t="n">
        <x:v>82</x:v>
      </x:c>
      <x:c r="N5" s="14" t="n">
        <x:v>4</x:v>
      </x:c>
      <x:c r="O5" s="14" t="n">
        <x:f>ROUND(L5*0.5+M5*0.3+(N5/5*100)*0.2,0)</x:f>
        <x:v>85</x:v>
      </x:c>
      <x:c r="P5" s="14" t="str">
        <x:f>IF(N5&lt;=2,"VERIFY",IF(AND(O5&gt;=82,N5&gt;=4),"E-A",IF(O5&gt;=74,"E-B","E-C")))</x:f>
        <x:v>E-A</x:v>
      </x:c>
      <x:c r="Q5" s="14" t="str">
        <x:v>기존 v2 제외 확인</x:v>
      </x:c>
      <x:c r="R5" s="14" t="str">
        <x:v>공식사이트 확인</x:v>
      </x:c>
      <x:c r="S5" s="14" t="str">
        <x:v>주택용 울타리 소비자 채널 확장</x:v>
      </x:c>
      <x:c r="T5" s="14" t="str">
        <x:v>제조설비/납품범위</x:v>
      </x:c>
      <x:c r="U5" s="14" t="str">
        <x:v>2026-08-13</x:v>
      </x:c>
    </x:row>
    <x:row r="6" ht="46" customHeight="1">
      <x:c r="A6" s="14" t="str">
        <x:v>EXP-005</x:v>
      </x:c>
      <x:c r="B6" s="14" t="str">
        <x:v>S01</x:v>
      </x:c>
      <x:c r="C6" s="14" t="str">
        <x:v>BOUNDARY</x:v>
      </x:c>
      <x:c r="D6" s="14" t="str">
        <x:v>철망·휀스</x:v>
      </x:c>
      <x:c r="E6" s="14" t="str">
        <x:v>영신철망</x:v>
      </x:c>
      <x:c r="F6" s="14" t="str">
        <x:v>직접제조·판매</x:v>
      </x:c>
      <x:c r="G6" s="14" t="str">
        <x:v>https://www.yeswire.co.kr/</x:v>
      </x:c>
      <x:c r="H6" s="14" t="str">
        <x:v>공식</x:v>
      </x:c>
      <x:c r="I6" s="14" t="str">
        <x:v>철선·휀스 직접 생산 성격 확인</x:v>
      </x:c>
      <x:c r="J6" s="14" t="str">
        <x:v>043-542-0317</x:v>
      </x:c>
      <x:c r="K6" s="14" t="str">
        <x:v>gulva7750@naver.com</x:v>
      </x:c>
      <x:c r="L6" s="14" t="n">
        <x:v>94</x:v>
      </x:c>
      <x:c r="M6" s="14" t="n">
        <x:v>78</x:v>
      </x:c>
      <x:c r="N6" s="14" t="n">
        <x:v>5</x:v>
      </x:c>
      <x:c r="O6" s="14" t="n">
        <x:f>ROUND(L6*0.5+M6*0.3+(N6/5*100)*0.2,0)</x:f>
        <x:v>90</x:v>
      </x:c>
      <x:c r="P6" s="14" t="str">
        <x:f>IF(N6&lt;=2,"VERIFY",IF(AND(O6&gt;=82,N6&gt;=4),"E-A",IF(O6&gt;=74,"E-B","E-C")))</x:f>
        <x:v>E-A</x:v>
      </x:c>
      <x:c r="Q6" s="14" t="str">
        <x:v>기존 v2 제외 확인</x:v>
      </x:c>
      <x:c r="R6" s="14" t="str">
        <x:v>공식 연락처 확인</x:v>
      </x:c>
      <x:c r="S6" s="14" t="str">
        <x:v>제조사 직공급·전원주택용 SKU 재구성</x:v>
      </x:c>
      <x:c r="T6" s="14" t="str">
        <x:v>공급가/MOQ/배송</x:v>
      </x:c>
      <x:c r="U6" s="14" t="str">
        <x:v>2026-08-13</x:v>
      </x:c>
    </x:row>
    <x:row r="7" ht="46" customHeight="1">
      <x:c r="A7" s="14" t="str">
        <x:v>EXP-006</x:v>
      </x:c>
      <x:c r="B7" s="14" t="str">
        <x:v>S01</x:v>
      </x:c>
      <x:c r="C7" s="14" t="str">
        <x:v>BOUNDARY,GATE</x:v>
      </x:c>
      <x:c r="D7" s="14" t="str">
        <x:v>휀스·대문</x:v>
      </x:c>
      <x:c r="E7" s="14" t="str">
        <x:v>영동철망(휀스)</x:v>
      </x:c>
      <x:c r="F7" s="14" t="str">
        <x:v>제조·시공</x:v>
      </x:c>
      <x:c r="G7" s="14" t="str">
        <x:v>https://www.youngdong09.kr/</x:v>
      </x:c>
      <x:c r="H7" s="14" t="str">
        <x:v>공식</x:v>
      </x:c>
      <x:c r="I7" s="14" t="str">
        <x:v>휀스 직접 제작/시공형 업체</x:v>
      </x:c>
      <x:c r="J7" s="14" t="str"/>
      <x:c r="K7" s="14" t="str"/>
      <x:c r="L7" s="14" t="n">
        <x:v>90</x:v>
      </x:c>
      <x:c r="M7" s="14" t="n">
        <x:v>85</x:v>
      </x:c>
      <x:c r="N7" s="14" t="n">
        <x:v>4</x:v>
      </x:c>
      <x:c r="O7" s="14" t="n">
        <x:f>ROUND(L7*0.5+M7*0.3+(N7/5*100)*0.2,0)</x:f>
        <x:v>87</x:v>
      </x:c>
      <x:c r="P7" s="14" t="str">
        <x:f>IF(N7&lt;=2,"VERIFY",IF(AND(O7&gt;=82,N7&gt;=4),"E-A",IF(O7&gt;=74,"E-B","E-C")))</x:f>
        <x:v>E-A</x:v>
      </x:c>
      <x:c r="Q7" s="14" t="str">
        <x:v>기존 v2 제외 확인</x:v>
      </x:c>
      <x:c r="R7" s="14" t="str">
        <x:v>공식사이트 확인</x:v>
      </x:c>
      <x:c r="S7" s="14" t="str">
        <x:v>지역형 제조사를 전국 온라인 리드로 연결</x:v>
      </x:c>
      <x:c r="T7" s="14" t="str">
        <x:v>전국배송·설치권역</x:v>
      </x:c>
      <x:c r="U7" s="14" t="str">
        <x:v>2026-08-13</x:v>
      </x:c>
    </x:row>
    <x:row r="8" ht="46" customHeight="1">
      <x:c r="A8" s="14" t="str">
        <x:v>EXP-007</x:v>
      </x:c>
      <x:c r="B8" s="14" t="str">
        <x:v>S01</x:v>
      </x:c>
      <x:c r="C8" s="14" t="str">
        <x:v>BOUNDARY</x:v>
      </x:c>
      <x:c r="D8" s="14" t="str">
        <x:v>용접철망·메쉬휀스</x:v>
      </x:c>
      <x:c r="E8" s="14" t="str">
        <x:v>영성산업</x:v>
      </x:c>
      <x:c r="F8" s="14" t="str">
        <x:v>제조</x:v>
      </x:c>
      <x:c r="G8" s="14" t="str">
        <x:v>https://youngseong.co.kr/product06/</x:v>
      </x:c>
      <x:c r="H8" s="14" t="str">
        <x:v>공식</x:v>
      </x:c>
      <x:c r="I8" s="14" t="str">
        <x:v>용접철망·메쉬 관련 제조설비/제품군 확인</x:v>
      </x:c>
      <x:c r="J8" s="14" t="str"/>
      <x:c r="K8" s="14" t="str"/>
      <x:c r="L8" s="14" t="n">
        <x:v>94</x:v>
      </x:c>
      <x:c r="M8" s="14" t="n">
        <x:v>68</x:v>
      </x:c>
      <x:c r="N8" s="14" t="n">
        <x:v>5</x:v>
      </x:c>
      <x:c r="O8" s="14" t="n">
        <x:f>ROUND(L8*0.5+M8*0.3+(N8/5*100)*0.2,0)</x:f>
        <x:v>87</x:v>
      </x:c>
      <x:c r="P8" s="14" t="str">
        <x:f>IF(N8&lt;=2,"VERIFY",IF(AND(O8&gt;=82,N8&gt;=4),"E-A",IF(O8&gt;=74,"E-B","E-C")))</x:f>
        <x:v>E-A</x:v>
      </x:c>
      <x:c r="Q8" s="14" t="str">
        <x:v>기존 v2 제외 확인</x:v>
      </x:c>
      <x:c r="R8" s="14" t="str">
        <x:v>공식사이트 확인</x:v>
      </x:c>
      <x:c r="S8" s="14" t="str">
        <x:v>B2B 제조제품을 주택용 규격으로 큐레이션</x:v>
      </x:c>
      <x:c r="T8" s="14" t="str">
        <x:v>소량공급/OEM</x:v>
      </x:c>
      <x:c r="U8" s="14" t="str">
        <x:v>2026-08-13</x:v>
      </x:c>
    </x:row>
    <x:row r="9" ht="46" customHeight="1">
      <x:c r="A9" s="14" t="str">
        <x:v>EXP-008</x:v>
      </x:c>
      <x:c r="B9" s="14" t="str">
        <x:v>S01</x:v>
      </x:c>
      <x:c r="C9" s="14" t="str">
        <x:v>BOUNDARY,GATE</x:v>
      </x:c>
      <x:c r="D9" s="14" t="str">
        <x:v>메쉬·디자인휀스·대문</x:v>
      </x:c>
      <x:c r="E9" s="14" t="str">
        <x:v>전주휀스철망</x:v>
      </x:c>
      <x:c r="F9" s="14" t="str">
        <x:v>판매·시공</x:v>
      </x:c>
      <x:c r="G9" s="14" t="str">
        <x:v>https://cnfence.co.kr/base/product/01.php?com_board_category_code=c1</x:v>
      </x:c>
      <x:c r="H9" s="14" t="str">
        <x:v>공식</x:v>
      </x:c>
      <x:c r="I9" s="14" t="str">
        <x:v>메쉬/디자인휀스와 대문 제품군 확인</x:v>
      </x:c>
      <x:c r="J9" s="14" t="str"/>
      <x:c r="K9" s="14" t="str"/>
      <x:c r="L9" s="14" t="n">
        <x:v>90</x:v>
      </x:c>
      <x:c r="M9" s="14" t="n">
        <x:v>82</x:v>
      </x:c>
      <x:c r="N9" s="14" t="n">
        <x:v>4</x:v>
      </x:c>
      <x:c r="O9" s="14" t="n">
        <x:f>ROUND(L9*0.5+M9*0.3+(N9/5*100)*0.2,0)</x:f>
        <x:v>86</x:v>
      </x:c>
      <x:c r="P9" s="14" t="str">
        <x:f>IF(N9&lt;=2,"VERIFY",IF(AND(O9&gt;=82,N9&gt;=4),"E-A",IF(O9&gt;=74,"E-B","E-C")))</x:f>
        <x:v>E-A</x:v>
      </x:c>
      <x:c r="Q9" s="14" t="str">
        <x:v>기존 v2 제외 확인</x:v>
      </x:c>
      <x:c r="R9" s="14" t="str">
        <x:v>공식사이트 확인</x:v>
      </x:c>
      <x:c r="S9" s="14" t="str">
        <x:v>지역 설치형 파트너 + 가격 DB 구축</x:v>
      </x:c>
      <x:c r="T9" s="14" t="str">
        <x:v>사업지역/납품가능지역</x:v>
      </x:c>
      <x:c r="U9" s="14" t="str">
        <x:v>2026-08-13</x:v>
      </x:c>
    </x:row>
    <x:row r="10" ht="46" customHeight="1">
      <x:c r="A10" s="14" t="str">
        <x:v>EXP-009</x:v>
      </x:c>
      <x:c r="B10" s="14" t="str">
        <x:v>S01</x:v>
      </x:c>
      <x:c r="C10" s="14" t="str">
        <x:v>BOUNDARY</x:v>
      </x:c>
      <x:c r="D10" s="14" t="str">
        <x:v>철망·휀스</x:v>
      </x:c>
      <x:c r="E10" s="14" t="str">
        <x:v>동해철망산업</x:v>
      </x:c>
      <x:c r="F10" s="14" t="str">
        <x:v>제조·공급</x:v>
      </x:c>
      <x:c r="G10" s="14" t="str">
        <x:v>https://www.workieum.com/dhmesh</x:v>
      </x:c>
      <x:c r="H10" s="14" t="str">
        <x:v>업체플랫폼</x:v>
      </x:c>
      <x:c r="I10" s="14" t="str">
        <x:v>장기간 철망·휀스 생산/공급 업체로 소개</x:v>
      </x:c>
      <x:c r="J10" s="14" t="str"/>
      <x:c r="K10" s="14" t="str"/>
      <x:c r="L10" s="14" t="n">
        <x:v>86</x:v>
      </x:c>
      <x:c r="M10" s="14" t="n">
        <x:v>88</x:v>
      </x:c>
      <x:c r="N10" s="14" t="n">
        <x:v>3</x:v>
      </x:c>
      <x:c r="O10" s="14" t="n">
        <x:f>ROUND(L10*0.5+M10*0.3+(N10/5*100)*0.2,0)</x:f>
        <x:v>81</x:v>
      </x:c>
      <x:c r="P10" s="14" t="str">
        <x:f>IF(N10&lt;=2,"VERIFY",IF(AND(O10&gt;=82,N10&gt;=4),"E-A",IF(O10&gt;=74,"E-B","E-C")))</x:f>
        <x:v>E-B</x:v>
      </x:c>
      <x:c r="Q10" s="14" t="str">
        <x:v>기존 v2 제외 확인</x:v>
      </x:c>
      <x:c r="R10" s="14" t="str">
        <x:v>2차자료 확인</x:v>
      </x:c>
      <x:c r="S10" s="14" t="str">
        <x:v>디지털 공백이 큰 제조사 후보</x:v>
      </x:c>
      <x:c r="T10" s="14" t="str">
        <x:v>공식사이트/사업 지속/연락처</x:v>
      </x:c>
      <x:c r="U10" s="14" t="str">
        <x:v>2026-08-13</x:v>
      </x:c>
    </x:row>
    <x:row r="11" ht="46" customHeight="1">
      <x:c r="A11" s="14" t="str">
        <x:v>EXP-010</x:v>
      </x:c>
      <x:c r="B11" s="14" t="str">
        <x:v>S01</x:v>
      </x:c>
      <x:c r="C11" s="14" t="str">
        <x:v>BOUNDARY</x:v>
      </x:c>
      <x:c r="D11" s="14" t="str">
        <x:v>휀스</x:v>
      </x:c>
      <x:c r="E11" s="14" t="str">
        <x:v>성원에프앤씨</x:v>
      </x:c>
      <x:c r="F11" s="14" t="str">
        <x:v>제조·시공 후보</x:v>
      </x:c>
      <x:c r="G11" s="14" t="str">
        <x:v>http://www.swfence.co.kr</x:v>
      </x:c>
      <x:c r="H11" s="14" t="str">
        <x:v>업체 웹</x:v>
      </x:c>
      <x:c r="I11" s="14" t="str">
        <x:v>휀스 전문업체 웹 도메인 확인</x:v>
      </x:c>
      <x:c r="J11" s="14" t="str"/>
      <x:c r="K11" s="14" t="str"/>
      <x:c r="L11" s="14" t="n">
        <x:v>84</x:v>
      </x:c>
      <x:c r="M11" s="14" t="n">
        <x:v>90</x:v>
      </x:c>
      <x:c r="N11" s="14" t="n">
        <x:v>3</x:v>
      </x:c>
      <x:c r="O11" s="14" t="n">
        <x:f>ROUND(L11*0.5+M11*0.3+(N11/5*100)*0.2,0)</x:f>
        <x:v>81</x:v>
      </x:c>
      <x:c r="P11" s="14" t="str">
        <x:f>IF(N11&lt;=2,"VERIFY",IF(AND(O11&gt;=82,N11&gt;=4),"E-A",IF(O11&gt;=74,"E-B","E-C")))</x:f>
        <x:v>E-B</x:v>
      </x:c>
      <x:c r="Q11" s="14" t="str">
        <x:v>기존 v2 제외 확인</x:v>
      </x:c>
      <x:c r="R11" s="14" t="str">
        <x:v>재검증 필요</x:v>
      </x:c>
      <x:c r="S11" s="14" t="str">
        <x:v>AEO 공백형 지역 제조/시공사 후보</x:v>
      </x:c>
      <x:c r="T11" s="14" t="str">
        <x:v>공식 연락처·제조여부</x:v>
      </x:c>
      <x:c r="U11" s="14" t="str">
        <x:v>2026-08-13</x:v>
      </x:c>
    </x:row>
    <x:row r="12" ht="46" customHeight="1">
      <x:c r="A12" s="14" t="str">
        <x:v>EXP-011</x:v>
      </x:c>
      <x:c r="B12" s="14" t="str">
        <x:v>S02</x:v>
      </x:c>
      <x:c r="C12" s="14" t="str">
        <x:v>PARKING</x:v>
      </x:c>
      <x:c r="D12" s="14" t="str">
        <x:v>카포트·주차 캐노피</x:v>
      </x:c>
      <x:c r="E12" s="14" t="str">
        <x:v>캐노텍</x:v>
      </x:c>
      <x:c r="F12" s="14" t="str">
        <x:v>설계·제작·설치</x:v>
      </x:c>
      <x:c r="G12" s="14" t="str">
        <x:v>https://canotec.co.kr/</x:v>
      </x:c>
      <x:c r="H12" s="14" t="str">
        <x:v>공식</x:v>
      </x:c>
      <x:c r="I12" s="14" t="str">
        <x:v>주차 캐노피 맞춤 설계·제작·전국 설치</x:v>
      </x:c>
      <x:c r="J12" s="14" t="str"/>
      <x:c r="K12" s="14" t="str"/>
      <x:c r="L12" s="14" t="n">
        <x:v>94</x:v>
      </x:c>
      <x:c r="M12" s="14" t="n">
        <x:v>68</x:v>
      </x:c>
      <x:c r="N12" s="14" t="n">
        <x:v>5</x:v>
      </x:c>
      <x:c r="O12" s="14" t="n">
        <x:f>ROUND(L12*0.5+M12*0.3+(N12/5*100)*0.2,0)</x:f>
        <x:v>87</x:v>
      </x:c>
      <x:c r="P12" s="14" t="str">
        <x:f>IF(N12&lt;=2,"VERIFY",IF(AND(O12&gt;=82,N12&gt;=4),"E-A",IF(O12&gt;=74,"E-B","E-C")))</x:f>
        <x:v>E-A</x:v>
      </x:c>
      <x:c r="Q12" s="14" t="str">
        <x:v>기존 v2 제외 확인</x:v>
      </x:c>
      <x:c r="R12" s="14" t="str">
        <x:v>공식사이트 확인</x:v>
      </x:c>
      <x:c r="S12" s="14" t="str">
        <x:v>전원주택 카포트 표준/맞춤 상품화</x:v>
      </x:c>
      <x:c r="T12" s="14" t="str">
        <x:v>개인주택 소량시공 조건</x:v>
      </x:c>
      <x:c r="U12" s="14" t="str">
        <x:v>2026-08-13</x:v>
      </x:c>
    </x:row>
    <x:row r="13" ht="46" customHeight="1">
      <x:c r="A13" s="14" t="str">
        <x:v>EXP-012</x:v>
      </x:c>
      <x:c r="B13" s="14" t="str">
        <x:v>S02</x:v>
      </x:c>
      <x:c r="C13" s="14" t="str">
        <x:v>PARKING,POWER</x:v>
      </x:c>
      <x:c r="D13" s="14" t="str">
        <x:v>EV 충전기 캐노피</x:v>
      </x:c>
      <x:c r="E13" s="14" t="str">
        <x:v>우진부스텍</x:v>
      </x:c>
      <x:c r="F13" s="14" t="str">
        <x:v>맞춤제작·설치</x:v>
      </x:c>
      <x:c r="G13" s="14" t="str">
        <x:v>https://wjbstec.tistory.com/1196</x:v>
      </x:c>
      <x:c r="H13" s="14" t="str">
        <x:v>브랜드 콘텐츠</x:v>
      </x:c>
      <x:c r="I13" s="14" t="str">
        <x:v>EV 충전기용 캐노피 제작/설치 사례 확인</x:v>
      </x:c>
      <x:c r="J13" s="14" t="str"/>
      <x:c r="K13" s="14" t="str"/>
      <x:c r="L13" s="14" t="n">
        <x:v>88</x:v>
      </x:c>
      <x:c r="M13" s="14" t="n">
        <x:v>82</x:v>
      </x:c>
      <x:c r="N13" s="14" t="n">
        <x:v>4</x:v>
      </x:c>
      <x:c r="O13" s="14" t="n">
        <x:f>ROUND(L13*0.5+M13*0.3+(N13/5*100)*0.2,0)</x:f>
        <x:v>85</x:v>
      </x:c>
      <x:c r="P13" s="14" t="str">
        <x:f>IF(N13&lt;=2,"VERIFY",IF(AND(O13&gt;=82,N13&gt;=4),"E-A",IF(O13&gt;=74,"E-B","E-C")))</x:f>
        <x:v>E-A</x:v>
      </x:c>
      <x:c r="Q13" s="14" t="str">
        <x:v>기존 v2 제외 확인</x:v>
      </x:c>
      <x:c r="R13" s="14" t="str">
        <x:v>사례 확인</x:v>
      </x:c>
      <x:c r="S13" s="14" t="str">
        <x:v>EV충전+캐노피 패키지 상품 제안</x:v>
      </x:c>
      <x:c r="T13" s="14" t="str">
        <x:v>공식 회사사이트/연락처</x:v>
      </x:c>
      <x:c r="U13" s="14" t="str">
        <x:v>2026-08-13</x:v>
      </x:c>
    </x:row>
    <x:row r="14" ht="46" customHeight="1">
      <x:c r="A14" s="14" t="str">
        <x:v>EXP-013</x:v>
      </x:c>
      <x:c r="B14" s="14" t="str">
        <x:v>S02</x:v>
      </x:c>
      <x:c r="C14" s="14" t="str">
        <x:v>POWER,PARKING</x:v>
      </x:c>
      <x:c r="D14" s="14" t="str">
        <x:v>전기차 충전기 설치·유지보수</x:v>
      </x:c>
      <x:c r="E14" s="14" t="str">
        <x:v>한국EV충전서비스센터</x:v>
      </x:c>
      <x:c r="F14" s="14" t="str">
        <x:v>설치·유지보수</x:v>
      </x:c>
      <x:c r="G14" s="14" t="str">
        <x:v>https://evsvc.co.kr/</x:v>
      </x:c>
      <x:c r="H14" s="14" t="str">
        <x:v>공식</x:v>
      </x:c>
      <x:c r="I14" s="14" t="str">
        <x:v>공용/비공용 충전기 설치 및 전국 유지보수</x:v>
      </x:c>
      <x:c r="J14" s="14" t="str"/>
      <x:c r="K14" s="14" t="str"/>
      <x:c r="L14" s="14" t="n">
        <x:v>91</x:v>
      </x:c>
      <x:c r="M14" s="14" t="n">
        <x:v>60</x:v>
      </x:c>
      <x:c r="N14" s="14" t="n">
        <x:v>5</x:v>
      </x:c>
      <x:c r="O14" s="14" t="n">
        <x:f>ROUND(L14*0.5+M14*0.3+(N14/5*100)*0.2,0)</x:f>
        <x:v>84</x:v>
      </x:c>
      <x:c r="P14" s="14" t="str">
        <x:f>IF(N14&lt;=2,"VERIFY",IF(AND(O14&gt;=82,N14&gt;=4),"E-A",IF(O14&gt;=74,"E-B","E-C")))</x:f>
        <x:v>E-A</x:v>
      </x:c>
      <x:c r="Q14" s="14" t="str">
        <x:v>기존 v2 제외 확인</x:v>
      </x:c>
      <x:c r="R14" s="14" t="str">
        <x:v>공식사이트 확인</x:v>
      </x:c>
      <x:c r="S14" s="14" t="str">
        <x:v>단독주택 완속충전 설치 네트워크</x:v>
      </x:c>
      <x:c r="T14" s="14" t="str">
        <x:v>개인주택 가격/공급브랜드</x:v>
      </x:c>
      <x:c r="U14" s="14" t="str">
        <x:v>2026-08-13</x:v>
      </x:c>
    </x:row>
    <x:row r="15" ht="46" customHeight="1">
      <x:c r="A15" s="14" t="str">
        <x:v>EXP-014</x:v>
      </x:c>
      <x:c r="B15" s="14" t="str">
        <x:v>S02</x:v>
      </x:c>
      <x:c r="C15" s="14" t="str">
        <x:v>POWER,PARKING</x:v>
      </x:c>
      <x:c r="D15" s="14" t="str">
        <x:v>EV 충전 설비</x:v>
      </x:c>
      <x:c r="E15" s="14" t="str">
        <x:v>에너고</x:v>
      </x:c>
      <x:c r="F15" s="14" t="str">
        <x:v>전기공사·설치·유지보수</x:v>
      </x:c>
      <x:c r="G15" s="14" t="str">
        <x:v>https://energo.kr/DCFastCharger</x:v>
      </x:c>
      <x:c r="H15" s="14" t="str">
        <x:v>공식</x:v>
      </x:c>
      <x:c r="I15" s="14" t="str">
        <x:v>충전기 설치/유지보수 및 전기공사 솔루션</x:v>
      </x:c>
      <x:c r="J15" s="14" t="str"/>
      <x:c r="K15" s="14" t="str"/>
      <x:c r="L15" s="14" t="n">
        <x:v>90</x:v>
      </x:c>
      <x:c r="M15" s="14" t="n">
        <x:v>66</x:v>
      </x:c>
      <x:c r="N15" s="14" t="n">
        <x:v>5</x:v>
      </x:c>
      <x:c r="O15" s="14" t="n">
        <x:f>ROUND(L15*0.5+M15*0.3+(N15/5*100)*0.2,0)</x:f>
        <x:v>85</x:v>
      </x:c>
      <x:c r="P15" s="14" t="str">
        <x:f>IF(N15&lt;=2,"VERIFY",IF(AND(O15&gt;=82,N15&gt;=4),"E-A",IF(O15&gt;=74,"E-B","E-C")))</x:f>
        <x:v>E-A</x:v>
      </x:c>
      <x:c r="Q15" s="14" t="str">
        <x:v>기존 v2 제외 확인</x:v>
      </x:c>
      <x:c r="R15" s="14" t="str">
        <x:v>공식사이트 확인</x:v>
      </x:c>
      <x:c r="S15" s="14" t="str">
        <x:v>주택용 충전기 설치 패키지</x:v>
      </x:c>
      <x:c r="T15" s="14" t="str">
        <x:v>완속 제품/지역별 설치비</x:v>
      </x:c>
      <x:c r="U15" s="14" t="str">
        <x:v>2026-08-13</x:v>
      </x:c>
    </x:row>
    <x:row r="16" ht="46" customHeight="1">
      <x:c r="A16" s="14" t="str">
        <x:v>EXP-015</x:v>
      </x:c>
      <x:c r="B16" s="14" t="str">
        <x:v>S02</x:v>
      </x:c>
      <x:c r="C16" s="14" t="str">
        <x:v>POWER,PARKING</x:v>
      </x:c>
      <x:c r="D16" s="14" t="str">
        <x:v>가정용 완속충전</x:v>
      </x:c>
      <x:c r="E16" s="14" t="str">
        <x:v>한국홈충전</x:v>
      </x:c>
      <x:c r="F16" s="14" t="str">
        <x:v>설치서비스</x:v>
      </x:c>
      <x:c r="G16" s="14" t="str">
        <x:v>https://evrental.kr/service</x:v>
      </x:c>
      <x:c r="H16" s="14" t="str">
        <x:v>공식</x:v>
      </x:c>
      <x:c r="I16" s="14" t="str">
        <x:v>가정/비공용 완속 충전 서비스</x:v>
      </x:c>
      <x:c r="J16" s="14" t="str"/>
      <x:c r="K16" s="14" t="str"/>
      <x:c r="L16" s="14" t="n">
        <x:v>88</x:v>
      </x:c>
      <x:c r="M16" s="14" t="n">
        <x:v>58</x:v>
      </x:c>
      <x:c r="N16" s="14" t="n">
        <x:v>4</x:v>
      </x:c>
      <x:c r="O16" s="14" t="n">
        <x:f>ROUND(L16*0.5+M16*0.3+(N16/5*100)*0.2,0)</x:f>
        <x:v>77</x:v>
      </x:c>
      <x:c r="P16" s="14" t="str">
        <x:f>IF(N16&lt;=2,"VERIFY",IF(AND(O16&gt;=82,N16&gt;=4),"E-A",IF(O16&gt;=74,"E-B","E-C")))</x:f>
        <x:v>E-B</x:v>
      </x:c>
      <x:c r="Q16" s="14" t="str">
        <x:v>기존 v2 제외 확인</x:v>
      </x:c>
      <x:c r="R16" s="14" t="str">
        <x:v>공식사이트 확인</x:v>
      </x:c>
      <x:c r="S16" s="14" t="str">
        <x:v>단독주택 홈충전 패키지 비교견적</x:v>
      </x:c>
      <x:c r="T16" s="14" t="str">
        <x:v>공급/렌탈 조건</x:v>
      </x:c>
      <x:c r="U16" s="14" t="str">
        <x:v>2026-08-13</x:v>
      </x:c>
    </x:row>
    <x:row r="17" ht="46" customHeight="1">
      <x:c r="A17" s="14" t="str">
        <x:v>EXP-016</x:v>
      </x:c>
      <x:c r="B17" s="14" t="str">
        <x:v>S02</x:v>
      </x:c>
      <x:c r="C17" s="14" t="str">
        <x:v>POWER,SMART</x:v>
      </x:c>
      <x:c r="D17" s="14" t="str">
        <x:v>EV 충전기·플랫폼</x:v>
      </x:c>
      <x:c r="E17" s="14" t="str">
        <x:v>이카플러그</x:v>
      </x:c>
      <x:c r="F17" s="14" t="str">
        <x:v>충전솔루션</x:v>
      </x:c>
      <x:c r="G17" s="14" t="str">
        <x:v>https://www.ecarplug.com/about</x:v>
      </x:c>
      <x:c r="H17" s="14" t="str">
        <x:v>공식</x:v>
      </x:c>
      <x:c r="I17" s="14" t="str">
        <x:v>충전 하드웨어/서비스 기업</x:v>
      </x:c>
      <x:c r="J17" s="14" t="str"/>
      <x:c r="K17" s="14" t="str"/>
      <x:c r="L17" s="14" t="n">
        <x:v>92</x:v>
      </x:c>
      <x:c r="M17" s="14" t="n">
        <x:v>48</x:v>
      </x:c>
      <x:c r="N17" s="14" t="n">
        <x:v>5</x:v>
      </x:c>
      <x:c r="O17" s="14" t="n">
        <x:f>ROUND(L17*0.5+M17*0.3+(N17/5*100)*0.2,0)</x:f>
        <x:v>80</x:v>
      </x:c>
      <x:c r="P17" s="14" t="str">
        <x:f>IF(N17&lt;=2,"VERIFY",IF(AND(O17&gt;=82,N17&gt;=4),"E-A",IF(O17&gt;=74,"E-B","E-C")))</x:f>
        <x:v>E-B</x:v>
      </x:c>
      <x:c r="Q17" s="14" t="str">
        <x:v>기존 v2 제외 확인</x:v>
      </x:c>
      <x:c r="R17" s="14" t="str">
        <x:v>공식사이트 확인</x:v>
      </x:c>
      <x:c r="S17" s="14" t="str">
        <x:v>공급·운영형 파트너 벤치마크</x:v>
      </x:c>
      <x:c r="T17" s="14" t="str">
        <x:v>가정용 SKU·리셀러정책</x:v>
      </x:c>
      <x:c r="U17" s="14" t="str">
        <x:v>2026-08-13</x:v>
      </x:c>
    </x:row>
    <x:row r="18" ht="46" customHeight="1">
      <x:c r="A18" s="14" t="str">
        <x:v>EXP-017</x:v>
      </x:c>
      <x:c r="B18" s="14" t="str">
        <x:v>S02</x:v>
      </x:c>
      <x:c r="C18" s="14" t="str">
        <x:v>POWER,SMART</x:v>
      </x:c>
      <x:c r="D18" s="14" t="str">
        <x:v>EV 충전 플랫폼</x:v>
      </x:c>
      <x:c r="E18" s="14" t="str">
        <x:v>플러그링크</x:v>
      </x:c>
      <x:c r="F18" s="14" t="str">
        <x:v>충전서비스</x:v>
      </x:c>
      <x:c r="G18" s="14" t="str">
        <x:v>https://pluglink.kr/</x:v>
      </x:c>
      <x:c r="H18" s="14" t="str">
        <x:v>공식</x:v>
      </x:c>
      <x:c r="I18" s="14" t="str">
        <x:v>전기차 충전 플랫폼/서비스 운영</x:v>
      </x:c>
      <x:c r="J18" s="14" t="str"/>
      <x:c r="K18" s="14" t="str"/>
      <x:c r="L18" s="14" t="n">
        <x:v>88</x:v>
      </x:c>
      <x:c r="M18" s="14" t="n">
        <x:v>42</x:v>
      </x:c>
      <x:c r="N18" s="14" t="n">
        <x:v>5</x:v>
      </x:c>
      <x:c r="O18" s="14" t="n">
        <x:f>ROUND(L18*0.5+M18*0.3+(N18/5*100)*0.2,0)</x:f>
        <x:v>77</x:v>
      </x:c>
      <x:c r="P18" s="14" t="str">
        <x:f>IF(N18&lt;=2,"VERIFY",IF(AND(O18&gt;=82,N18&gt;=4),"E-A",IF(O18&gt;=74,"E-B","E-C")))</x:f>
        <x:v>E-B</x:v>
      </x:c>
      <x:c r="Q18" s="14" t="str">
        <x:v>기존 v2 제외 확인</x:v>
      </x:c>
      <x:c r="R18" s="14" t="str">
        <x:v>공식사이트 확인</x:v>
      </x:c>
      <x:c r="S18" s="14" t="str">
        <x:v>AEO보다 설치·서비스 제휴 관점</x:v>
      </x:c>
      <x:c r="T18" s="14" t="str">
        <x:v>단독주택 서비스 가능 여부</x:v>
      </x:c>
      <x:c r="U18" s="14" t="str">
        <x:v>2026-08-13</x:v>
      </x:c>
    </x:row>
    <x:row r="19" ht="46" customHeight="1">
      <x:c r="A19" s="14" t="str">
        <x:v>EXP-018</x:v>
      </x:c>
      <x:c r="B19" s="14" t="str">
        <x:v>S02</x:v>
      </x:c>
      <x:c r="C19" s="14" t="str">
        <x:v>POWER,PARKING</x:v>
      </x:c>
      <x:c r="D19" s="14" t="str">
        <x:v>EV 충전 인프라</x:v>
      </x:c>
      <x:c r="E19" s="14" t="str">
        <x:v>HAPPECHARGER</x:v>
      </x:c>
      <x:c r="F19" s="14" t="str">
        <x:v>충전 인프라·운영</x:v>
      </x:c>
      <x:c r="G19" s="14" t="str">
        <x:v>https://www.happecharger.com/about/business</x:v>
      </x:c>
      <x:c r="H19" s="14" t="str">
        <x:v>공식</x:v>
      </x:c>
      <x:c r="I19" s="14" t="str">
        <x:v>충전 인프라 구축/운영 사업</x:v>
      </x:c>
      <x:c r="J19" s="14" t="str"/>
      <x:c r="K19" s="14" t="str"/>
      <x:c r="L19" s="14" t="n">
        <x:v>87</x:v>
      </x:c>
      <x:c r="M19" s="14" t="n">
        <x:v>52</x:v>
      </x:c>
      <x:c r="N19" s="14" t="n">
        <x:v>5</x:v>
      </x:c>
      <x:c r="O19" s="14" t="n">
        <x:f>ROUND(L19*0.5+M19*0.3+(N19/5*100)*0.2,0)</x:f>
        <x:v>79</x:v>
      </x:c>
      <x:c r="P19" s="14" t="str">
        <x:f>IF(N19&lt;=2,"VERIFY",IF(AND(O19&gt;=82,N19&gt;=4),"E-A",IF(O19&gt;=74,"E-B","E-C")))</x:f>
        <x:v>E-B</x:v>
      </x:c>
      <x:c r="Q19" s="14" t="str">
        <x:v>기존 v2 제외 확인</x:v>
      </x:c>
      <x:c r="R19" s="14" t="str">
        <x:v>공식사이트 확인</x:v>
      </x:c>
      <x:c r="S19" s="14" t="str">
        <x:v>주택/소형숙박 B2B 충전 패키지</x:v>
      </x:c>
      <x:c r="T19" s="14" t="str">
        <x:v>개인사업장·주택 설치조건</x:v>
      </x:c>
      <x:c r="U19" s="14" t="str">
        <x:v>2026-08-13</x:v>
      </x:c>
    </x:row>
    <x:row r="20" ht="46" customHeight="1">
      <x:c r="A20" s="14" t="str">
        <x:v>EXP-019</x:v>
      </x:c>
      <x:c r="B20" s="14" t="str">
        <x:v>S02</x:v>
      </x:c>
      <x:c r="C20" s="14" t="str">
        <x:v>POWER,PARKING</x:v>
      </x:c>
      <x:c r="D20" s="14" t="str">
        <x:v>완속충전·주차설비</x:v>
      </x:c>
      <x:c r="E20" s="14" t="str">
        <x:v>두루스코이브이</x:v>
      </x:c>
      <x:c r="F20" s="14" t="str">
        <x:v>충전솔루션</x:v>
      </x:c>
      <x:c r="G20" s="14" t="str">
        <x:v>https://kidd.co.kr/news/230713</x:v>
      </x:c>
      <x:c r="H20" s="14" t="str">
        <x:v>산업기사</x:v>
      </x:c>
      <x:c r="I20" s="14" t="str">
        <x:v>카스토퍼 결합형 완속충전 서비스 사례</x:v>
      </x:c>
      <x:c r="J20" s="14" t="str"/>
      <x:c r="K20" s="14" t="str"/>
      <x:c r="L20" s="14" t="n">
        <x:v>84</x:v>
      </x:c>
      <x:c r="M20" s="14" t="n">
        <x:v>85</x:v>
      </x:c>
      <x:c r="N20" s="14" t="n">
        <x:v>3</x:v>
      </x:c>
      <x:c r="O20" s="14" t="n">
        <x:f>ROUND(L20*0.5+M20*0.3+(N20/5*100)*0.2,0)</x:f>
        <x:v>80</x:v>
      </x:c>
      <x:c r="P20" s="14" t="str">
        <x:f>IF(N20&lt;=2,"VERIFY",IF(AND(O20&gt;=82,N20&gt;=4),"E-A",IF(O20&gt;=74,"E-B","E-C")))</x:f>
        <x:v>E-B</x:v>
      </x:c>
      <x:c r="Q20" s="14" t="str">
        <x:v>기존 v2 제외 확인</x:v>
      </x:c>
      <x:c r="R20" s="14" t="str">
        <x:v>2차자료 확인</x:v>
      </x:c>
      <x:c r="S20" s="14" t="str">
        <x:v>설치공간을 줄이는 차별화 충전상품</x:v>
      </x:c>
      <x:c r="T20" s="14" t="str">
        <x:v>공식사이트/현재 제품</x:v>
      </x:c>
      <x:c r="U20" s="14" t="str">
        <x:v>2026-08-13</x:v>
      </x:c>
    </x:row>
    <x:row r="21" ht="46" customHeight="1">
      <x:c r="A21" s="14" t="str">
        <x:v>EXP-020</x:v>
      </x:c>
      <x:c r="B21" s="14" t="str">
        <x:v>S02</x:v>
      </x:c>
      <x:c r="C21" s="14" t="str">
        <x:v>PARKING,POWER</x:v>
      </x:c>
      <x:c r="D21" s="14" t="str">
        <x:v>태양광 주차장·EV 연계</x:v>
      </x:c>
      <x:c r="E21" s="14" t="str">
        <x:v>제이엔코(JENCO)</x:v>
      </x:c>
      <x:c r="F21" s="14" t="str">
        <x:v>구조물 제작·설치</x:v>
      </x:c>
      <x:c r="G21" s="14" t="str">
        <x:v>https://jenco.co.kr/parking</x:v>
      </x:c>
      <x:c r="H21" s="14" t="str">
        <x:v>공식</x:v>
      </x:c>
      <x:c r="I21" s="14" t="str">
        <x:v>주차장 태양광 구조물과 충전 연계 가능성</x:v>
      </x:c>
      <x:c r="J21" s="14" t="str"/>
      <x:c r="K21" s="14" t="str"/>
      <x:c r="L21" s="14" t="n">
        <x:v>92</x:v>
      </x:c>
      <x:c r="M21" s="14" t="n">
        <x:v>70</x:v>
      </x:c>
      <x:c r="N21" s="14" t="n">
        <x:v>5</x:v>
      </x:c>
      <x:c r="O21" s="14" t="n">
        <x:f>ROUND(L21*0.5+M21*0.3+(N21/5*100)*0.2,0)</x:f>
        <x:v>87</x:v>
      </x:c>
      <x:c r="P21" s="14" t="str">
        <x:f>IF(N21&lt;=2,"VERIFY",IF(AND(O21&gt;=82,N21&gt;=4),"E-A",IF(O21&gt;=74,"E-B","E-C")))</x:f>
        <x:v>E-A</x:v>
      </x:c>
      <x:c r="Q21" s="14" t="str">
        <x:v>기존 v2 제외 확인</x:v>
      </x:c>
      <x:c r="R21" s="14" t="str">
        <x:v>공식사이트 확인</x:v>
      </x:c>
      <x:c r="S21" s="14" t="str">
        <x:v>카포트+태양광+EV충전 통합 제안</x:v>
      </x:c>
      <x:c r="T21" s="14" t="str">
        <x:v>소형 주택용 시공 가능성</x:v>
      </x:c>
      <x:c r="U21" s="14" t="str">
        <x:v>2026-08-13</x:v>
      </x:c>
    </x:row>
    <x:row r="22" ht="46" customHeight="1">
      <x:c r="A22" s="14" t="str">
        <x:v>EXP-021</x:v>
      </x:c>
      <x:c r="B22" s="14" t="str">
        <x:v>S03</x:v>
      </x:c>
      <x:c r="C22" s="14" t="str">
        <x:v>STORAGE</x:v>
      </x:c>
      <x:c r="D22" s="14" t="str">
        <x:v>철제사물함·코인락커</x:v>
      </x:c>
      <x:c r="E22" s="14" t="str">
        <x:v>동광뉴텍</x:v>
      </x:c>
      <x:c r="F22" s="14" t="str">
        <x:v>제조</x:v>
      </x:c>
      <x:c r="G22" s="14" t="str">
        <x:v>https://www.dknt.co.kr/</x:v>
      </x:c>
      <x:c r="H22" s="14" t="str">
        <x:v>공식</x:v>
      </x:c>
      <x:c r="I22" s="14" t="str">
        <x:v>철제 사물함·락커류 전문 제품군</x:v>
      </x:c>
      <x:c r="J22" s="14" t="str"/>
      <x:c r="K22" s="14" t="str"/>
      <x:c r="L22" s="14" t="n">
        <x:v>90</x:v>
      </x:c>
      <x:c r="M22" s="14" t="n">
        <x:v>76</x:v>
      </x:c>
      <x:c r="N22" s="14" t="n">
        <x:v>5</x:v>
      </x:c>
      <x:c r="O22" s="14" t="n">
        <x:f>ROUND(L22*0.5+M22*0.3+(N22/5*100)*0.2,0)</x:f>
        <x:v>88</x:v>
      </x:c>
      <x:c r="P22" s="14" t="str">
        <x:f>IF(N22&lt;=2,"VERIFY",IF(AND(O22&gt;=82,N22&gt;=4),"E-A",IF(O22&gt;=74,"E-B","E-C")))</x:f>
        <x:v>E-A</x:v>
      </x:c>
      <x:c r="Q22" s="14" t="str">
        <x:v>기존 v2 제외 확인</x:v>
      </x:c>
      <x:c r="R22" s="14" t="str">
        <x:v>공식사이트 확인</x:v>
      </x:c>
      <x:c r="S22" s="14" t="str">
        <x:v>야외/택배보관형 커스텀 OEM 문의</x:v>
      </x:c>
      <x:c r="T22" s="14" t="str">
        <x:v>옥외용·소량 맞춤 가능성</x:v>
      </x:c>
      <x:c r="U22" s="14" t="str">
        <x:v>2026-08-13</x:v>
      </x:c>
    </x:row>
    <x:row r="23" ht="46" customHeight="1">
      <x:c r="A23" s="14" t="str">
        <x:v>EXP-022</x:v>
      </x:c>
      <x:c r="B23" s="14" t="str">
        <x:v>S03</x:v>
      </x:c>
      <x:c r="C23" s="14" t="str">
        <x:v>STORAGE,SMART</x:v>
      </x:c>
      <x:c r="D23" s="14" t="str">
        <x:v>무인택배시스템</x:v>
      </x:c>
      <x:c r="E23" s="14" t="str">
        <x:v>(주)헤드</x:v>
      </x:c>
      <x:c r="F23" s="14" t="str">
        <x:v>제조·시스템</x:v>
      </x:c>
      <x:c r="G23" s="14" t="str">
        <x:v>https://www.hadatb.co.kr/</x:v>
      </x:c>
      <x:c r="H23" s="14" t="str">
        <x:v>공식</x:v>
      </x:c>
      <x:c r="I23" s="14" t="str">
        <x:v>무인택배 시스템 직접 생산 인프라/납품 성격</x:v>
      </x:c>
      <x:c r="J23" s="14" t="str"/>
      <x:c r="K23" s="14" t="str"/>
      <x:c r="L23" s="14" t="n">
        <x:v>95</x:v>
      </x:c>
      <x:c r="M23" s="14" t="n">
        <x:v>62</x:v>
      </x:c>
      <x:c r="N23" s="14" t="n">
        <x:v>5</x:v>
      </x:c>
      <x:c r="O23" s="14" t="n">
        <x:f>ROUND(L23*0.5+M23*0.3+(N23/5*100)*0.2,0)</x:f>
        <x:v>86</x:v>
      </x:c>
      <x:c r="P23" s="14" t="str">
        <x:f>IF(N23&lt;=2,"VERIFY",IF(AND(O23&gt;=82,N23&gt;=4),"E-A",IF(O23&gt;=74,"E-B","E-C")))</x:f>
        <x:v>E-A</x:v>
      </x:c>
      <x:c r="Q23" s="14" t="str">
        <x:v>기존 v2 제외 확인</x:v>
      </x:c>
      <x:c r="R23" s="14" t="str">
        <x:v>공식사이트 확인</x:v>
      </x:c>
      <x:c r="S23" s="14" t="str">
        <x:v>단독주택·타운하우스 소형 모델 개발</x:v>
      </x:c>
      <x:c r="T23" s="14" t="str">
        <x:v>소형함/OEM/공급가</x:v>
      </x:c>
      <x:c r="U23" s="14" t="str">
        <x:v>2026-08-13</x:v>
      </x:c>
    </x:row>
    <x:row r="24" ht="46" customHeight="1">
      <x:c r="A24" s="14" t="str">
        <x:v>EXP-023</x:v>
      </x:c>
      <x:c r="B24" s="14" t="str">
        <x:v>S03</x:v>
      </x:c>
      <x:c r="C24" s="14" t="str">
        <x:v>STORAGE</x:v>
      </x:c>
      <x:c r="D24" s="14" t="str">
        <x:v>무인택배함·우편함</x:v>
      </x:c>
      <x:c r="E24" s="14" t="str">
        <x:v>택배지킴이</x:v>
      </x:c>
      <x:c r="F24" s="14" t="str">
        <x:v>제작·판매</x:v>
      </x:c>
      <x:c r="G24" s="14" t="str">
        <x:v>https://xn--2h3b29rnxbp1l1f.com/</x:v>
      </x:c>
      <x:c r="H24" s="14" t="str">
        <x:v>공식</x:v>
      </x:c>
      <x:c r="I24" s="14" t="str">
        <x:v>택배함/우편함 맞춤 제작형 제품</x:v>
      </x:c>
      <x:c r="J24" s="14" t="str"/>
      <x:c r="K24" s="14" t="str"/>
      <x:c r="L24" s="14" t="n">
        <x:v>93</x:v>
      </x:c>
      <x:c r="M24" s="14" t="n">
        <x:v>78</x:v>
      </x:c>
      <x:c r="N24" s="14" t="n">
        <x:v>4</x:v>
      </x:c>
      <x:c r="O24" s="14" t="n">
        <x:f>ROUND(L24*0.5+M24*0.3+(N24/5*100)*0.2,0)</x:f>
        <x:v>86</x:v>
      </x:c>
      <x:c r="P24" s="14" t="str">
        <x:f>IF(N24&lt;=2,"VERIFY",IF(AND(O24&gt;=82,N24&gt;=4),"E-A",IF(O24&gt;=74,"E-B","E-C")))</x:f>
        <x:v>E-A</x:v>
      </x:c>
      <x:c r="Q24" s="14" t="str">
        <x:v>기존 v2 제외 확인</x:v>
      </x:c>
      <x:c r="R24" s="14" t="str">
        <x:v>공식사이트 확인</x:v>
      </x:c>
      <x:c r="S24" s="14" t="str">
        <x:v>RHINORY 전용 디자인 택배함</x:v>
      </x:c>
      <x:c r="T24" s="14" t="str">
        <x:v>OEM·제품사진 사용권</x:v>
      </x:c>
      <x:c r="U24" s="14" t="str">
        <x:v>2026-08-13</x:v>
      </x:c>
    </x:row>
    <x:row r="25" ht="46" customHeight="1">
      <x:c r="A25" s="14" t="str">
        <x:v>EXP-024</x:v>
      </x:c>
      <x:c r="B25" s="14" t="str">
        <x:v>S03</x:v>
      </x:c>
      <x:c r="C25" s="14" t="str">
        <x:v>STORAGE</x:v>
      </x:c>
      <x:c r="D25" s="14" t="str">
        <x:v>무인택배함</x:v>
      </x:c>
      <x:c r="E25" s="14" t="str">
        <x:v>베스트락커</x:v>
      </x:c>
      <x:c r="F25" s="14" t="str">
        <x:v>국내제작·맞춤</x:v>
      </x:c>
      <x:c r="G25" s="14" t="str">
        <x:v>https://www.instagram.com/p/Db4tUg6hF-e/</x:v>
      </x:c>
      <x:c r="H25" s="14" t="str">
        <x:v>공식SNS</x:v>
      </x:c>
      <x:c r="I25" s="14" t="str">
        <x:v>국내 제작 맞춤 무인택배함 홍보 및 연락창구</x:v>
      </x:c>
      <x:c r="J25" s="14" t="str">
        <x:v>010-7330-3524</x:v>
      </x:c>
      <x:c r="K25" s="14" t="str"/>
      <x:c r="L25" s="14" t="n">
        <x:v>90</x:v>
      </x:c>
      <x:c r="M25" s="14" t="n">
        <x:v>90</x:v>
      </x:c>
      <x:c r="N25" s="14" t="n">
        <x:v>3</x:v>
      </x:c>
      <x:c r="O25" s="14" t="n">
        <x:f>ROUND(L25*0.5+M25*0.3+(N25/5*100)*0.2,0)</x:f>
        <x:v>84</x:v>
      </x:c>
      <x:c r="P25" s="14" t="str">
        <x:f>IF(N25&lt;=2,"VERIFY",IF(AND(O25&gt;=82,N25&gt;=4),"E-A",IF(O25&gt;=74,"E-B","E-C")))</x:f>
        <x:v>E-B</x:v>
      </x:c>
      <x:c r="Q25" s="14" t="str">
        <x:v>기존 v2 제외 확인</x:v>
      </x:c>
      <x:c r="R25" s="14" t="str">
        <x:v>SNS 근거 확인</x:v>
      </x:c>
      <x:c r="S25" s="14" t="str">
        <x:v>디지털 공백 큰 맞춤 제조사 후보</x:v>
      </x:c>
      <x:c r="T25" s="14" t="str">
        <x:v>공식 홈페이지/사업자/이메일</x:v>
      </x:c>
      <x:c r="U25" s="14" t="str">
        <x:v>2026-08-13</x:v>
      </x:c>
    </x:row>
    <x:row r="26" ht="46" customHeight="1">
      <x:c r="A26" s="14" t="str">
        <x:v>EXP-025</x:v>
      </x:c>
      <x:c r="B26" s="14" t="str">
        <x:v>S03</x:v>
      </x:c>
      <x:c r="C26" s="14" t="str">
        <x:v>STORAGE</x:v>
      </x:c>
      <x:c r="D26" s="14" t="str">
        <x:v>택배함·금속보관함</x:v>
      </x:c>
      <x:c r="E26" s="14" t="str">
        <x:v>스위틸(Sweeteel)</x:v>
      </x:c>
      <x:c r="F26" s="14" t="str">
        <x:v>맞춤제작</x:v>
      </x:c>
      <x:c r="G26" s="14" t="str">
        <x:v>https://sweeteel.com/</x:v>
      </x:c>
      <x:c r="H26" s="14" t="str">
        <x:v>공식</x:v>
      </x:c>
      <x:c r="I26" s="14" t="str">
        <x:v>금속 택배/보관 제품 맞춤 제작형 업체</x:v>
      </x:c>
      <x:c r="J26" s="14" t="str">
        <x:v>031-444-1196</x:v>
      </x:c>
      <x:c r="K26" s="14" t="str"/>
      <x:c r="L26" s="14" t="n">
        <x:v>91</x:v>
      </x:c>
      <x:c r="M26" s="14" t="n">
        <x:v>82</x:v>
      </x:c>
      <x:c r="N26" s="14" t="n">
        <x:v>4</x:v>
      </x:c>
      <x:c r="O26" s="14" t="n">
        <x:f>ROUND(L26*0.5+M26*0.3+(N26/5*100)*0.2,0)</x:f>
        <x:v>86</x:v>
      </x:c>
      <x:c r="P26" s="14" t="str">
        <x:f>IF(N26&lt;=2,"VERIFY",IF(AND(O26&gt;=82,N26&gt;=4),"E-A",IF(O26&gt;=74,"E-B","E-C")))</x:f>
        <x:v>E-A</x:v>
      </x:c>
      <x:c r="Q26" s="14" t="str">
        <x:v>기존 v2 제외 확인</x:v>
      </x:c>
      <x:c r="R26" s="14" t="str">
        <x:v>공식사이트 확인</x:v>
      </x:c>
      <x:c r="S26" s="14" t="str">
        <x:v>디자인 택배함 PB/OEM</x:v>
      </x:c>
      <x:c r="T26" s="14" t="str">
        <x:v>도매·최소수량</x:v>
      </x:c>
      <x:c r="U26" s="14" t="str">
        <x:v>2026-08-13</x:v>
      </x:c>
    </x:row>
    <x:row r="27" ht="46" customHeight="1">
      <x:c r="A27" s="14" t="str">
        <x:v>EXP-026</x:v>
      </x:c>
      <x:c r="B27" s="14" t="str">
        <x:v>S03</x:v>
      </x:c>
      <x:c r="C27" s="14" t="str">
        <x:v>STORAGE</x:v>
      </x:c>
      <x:c r="D27" s="14" t="str">
        <x:v>분리수거·폐기물 보관용기</x:v>
      </x:c>
      <x:c r="E27" s="14" t="str">
        <x:v>오토코리아(OTTO KOREA)</x:v>
      </x:c>
      <x:c r="F27" s="14" t="str">
        <x:v>제조·공급</x:v>
      </x:c>
      <x:c r="G27" s="14" t="str">
        <x:v>https://ottokorea.com/our_business</x:v>
      </x:c>
      <x:c r="H27" s="14" t="str">
        <x:v>공식</x:v>
      </x:c>
      <x:c r="I27" s="14" t="str">
        <x:v>폐기물/재활용/음식물 수거용기 생산·공급</x:v>
      </x:c>
      <x:c r="J27" s="14" t="str"/>
      <x:c r="K27" s="14" t="str"/>
      <x:c r="L27" s="14" t="n">
        <x:v>92</x:v>
      </x:c>
      <x:c r="M27" s="14" t="n">
        <x:v>52</x:v>
      </x:c>
      <x:c r="N27" s="14" t="n">
        <x:v>5</x:v>
      </x:c>
      <x:c r="O27" s="14" t="n">
        <x:f>ROUND(L27*0.5+M27*0.3+(N27/5*100)*0.2,0)</x:f>
        <x:v>82</x:v>
      </x:c>
      <x:c r="P27" s="14" t="str">
        <x:f>IF(N27&lt;=2,"VERIFY",IF(AND(O27&gt;=82,N27&gt;=4),"E-A",IF(O27&gt;=74,"E-B","E-C")))</x:f>
        <x:v>E-A</x:v>
      </x:c>
      <x:c r="Q27" s="14" t="str">
        <x:v>기존 v2 제외 확인</x:v>
      </x:c>
      <x:c r="R27" s="14" t="str">
        <x:v>공식사이트 확인</x:v>
      </x:c>
      <x:c r="S27" s="14" t="str">
        <x:v>전원주택 쓰레기보관/분리수거 솔루션</x:v>
      </x:c>
      <x:c r="T27" s="14" t="str">
        <x:v>가정용 SKU/도매</x:v>
      </x:c>
      <x:c r="U27" s="14" t="str">
        <x:v>2026-08-13</x:v>
      </x:c>
    </x:row>
    <x:row r="28" ht="46" customHeight="1">
      <x:c r="A28" s="14" t="str">
        <x:v>EXP-027</x:v>
      </x:c>
      <x:c r="B28" s="14" t="str">
        <x:v>S03</x:v>
      </x:c>
      <x:c r="C28" s="14" t="str">
        <x:v>STORAGE</x:v>
      </x:c>
      <x:c r="D28" s="14" t="str">
        <x:v>조립식창고</x:v>
      </x:c>
      <x:c r="E28" s="14" t="str">
        <x:v>호레움</x:v>
      </x:c>
      <x:c r="F28" s="14" t="str">
        <x:v>유통·시공</x:v>
      </x:c>
      <x:c r="G28" s="14" t="str">
        <x:v>https://www.horreum.co.kr/</x:v>
      </x:c>
      <x:c r="H28" s="14" t="str">
        <x:v>공식</x:v>
      </x:c>
      <x:c r="I28" s="14" t="str">
        <x:v>조립식 창고·온실 등 야외 구조물 상품</x:v>
      </x:c>
      <x:c r="J28" s="14" t="str"/>
      <x:c r="K28" s="14" t="str"/>
      <x:c r="L28" s="14" t="n">
        <x:v>88</x:v>
      </x:c>
      <x:c r="M28" s="14" t="n">
        <x:v>60</x:v>
      </x:c>
      <x:c r="N28" s="14" t="n">
        <x:v>4</x:v>
      </x:c>
      <x:c r="O28" s="14" t="n">
        <x:f>ROUND(L28*0.5+M28*0.3+(N28/5*100)*0.2,0)</x:f>
        <x:v>78</x:v>
      </x:c>
      <x:c r="P28" s="14" t="str">
        <x:f>IF(N28&lt;=2,"VERIFY",IF(AND(O28&gt;=82,N28&gt;=4),"E-A",IF(O28&gt;=74,"E-B","E-C")))</x:f>
        <x:v>E-B</x:v>
      </x:c>
      <x:c r="Q28" s="14" t="str">
        <x:v>기존 v2 제외 확인</x:v>
      </x:c>
      <x:c r="R28" s="14" t="str">
        <x:v>공식사이트 확인</x:v>
      </x:c>
      <x:c r="S28" s="14" t="str">
        <x:v>소형 마당창고 큐레이션</x:v>
      </x:c>
      <x:c r="T28" s="14" t="str">
        <x:v>브랜드/수입원·공급조건</x:v>
      </x:c>
      <x:c r="U28" s="14" t="str">
        <x:v>2026-08-13</x:v>
      </x:c>
    </x:row>
    <x:row r="29" ht="46" customHeight="1">
      <x:c r="A29" s="14" t="str">
        <x:v>EXP-028</x:v>
      </x:c>
      <x:c r="B29" s="14" t="str">
        <x:v>S03</x:v>
      </x:c>
      <x:c r="C29" s="14" t="str">
        <x:v>STORAGE</x:v>
      </x:c>
      <x:c r="D29" s="14" t="str">
        <x:v>철제사물함·무인택배보관함</x:v>
      </x:c>
      <x:c r="E29" s="14" t="str">
        <x:v>한국제일안전</x:v>
      </x:c>
      <x:c r="F29" s="14" t="str">
        <x:v>제조·유통</x:v>
      </x:c>
      <x:c r="G29" s="14" t="str">
        <x:v>https://jisafety.co.kr/product/ji-pb3-%EA%B0%9C%EC%9D%B8%EC%82%AC%EB%AC%BC%ED%95%A8-%EB%9D%BD%EC%BB%A4%EB%A3%B8-%EB%AC%B4%EC%9D%B8%ED%83%9D%EB%B0%B0%EB%B3%B4%EA%B4%80%ED%95%A8-%EC%95%84%ED%8C%8C%ED%8A%B8%EB%AC%B4%EC%9D%B8%ED%83%9D%EB%B0%B0%ED%95%A8-%EC%B2%A0%EC%A0%9C%EC%82%AC%EB%AC%BC%ED%95%A8/70/</x:v>
      </x:c>
      <x:c r="H29" s="14" t="str">
        <x:v>공식</x:v>
      </x:c>
      <x:c r="I29" s="14" t="str">
        <x:v>철제 보관함/택배보관 제품 판매</x:v>
      </x:c>
      <x:c r="J29" s="14" t="str"/>
      <x:c r="K29" s="14" t="str"/>
      <x:c r="L29" s="14" t="n">
        <x:v>86</x:v>
      </x:c>
      <x:c r="M29" s="14" t="n">
        <x:v>58</x:v>
      </x:c>
      <x:c r="N29" s="14" t="n">
        <x:v>4</x:v>
      </x:c>
      <x:c r="O29" s="14" t="n">
        <x:f>ROUND(L29*0.5+M29*0.3+(N29/5*100)*0.2,0)</x:f>
        <x:v>76</x:v>
      </x:c>
      <x:c r="P29" s="14" t="str">
        <x:f>IF(N29&lt;=2,"VERIFY",IF(AND(O29&gt;=82,N29&gt;=4),"E-A",IF(O29&gt;=74,"E-B","E-C")))</x:f>
        <x:v>E-B</x:v>
      </x:c>
      <x:c r="Q29" s="14" t="str">
        <x:v>기존 v2 제외 확인</x:v>
      </x:c>
      <x:c r="R29" s="14" t="str">
        <x:v>공식제품 확인</x:v>
      </x:c>
      <x:c r="S29" s="14" t="str">
        <x:v>저가형 보관/택배 SKU 공급</x:v>
      </x:c>
      <x:c r="T29" s="14" t="str">
        <x:v>직접생산 여부/도매가</x:v>
      </x:c>
      <x:c r="U29" s="14" t="str">
        <x:v>2026-08-13</x:v>
      </x:c>
    </x:row>
    <x:row r="30" ht="46" customHeight="1">
      <x:c r="A30" s="14" t="str">
        <x:v>EXP-029</x:v>
      </x:c>
      <x:c r="B30" s="14" t="str">
        <x:v>S03</x:v>
      </x:c>
      <x:c r="C30" s="14" t="str">
        <x:v>STORAGE,SMART</x:v>
      </x:c>
      <x:c r="D30" s="14" t="str">
        <x:v>무인택배함</x:v>
      </x:c>
      <x:c r="E30" s="14" t="str">
        <x:v>동산테크</x:v>
      </x:c>
      <x:c r="F30" s="14" t="str">
        <x:v>제조·시스템</x:v>
      </x:c>
      <x:c r="G30" s="14" t="str">
        <x:v>https://ds-technology.co.kr/sub/sub02_10.php</x:v>
      </x:c>
      <x:c r="H30" s="14" t="str">
        <x:v>공식</x:v>
      </x:c>
      <x:c r="I30" s="14" t="str">
        <x:v>무인택배함 제품 및 기업 인증/설비 페이지</x:v>
      </x:c>
      <x:c r="J30" s="14" t="str"/>
      <x:c r="K30" s="14" t="str"/>
      <x:c r="L30" s="14" t="n">
        <x:v>94</x:v>
      </x:c>
      <x:c r="M30" s="14" t="n">
        <x:v>70</x:v>
      </x:c>
      <x:c r="N30" s="14" t="n">
        <x:v>5</x:v>
      </x:c>
      <x:c r="O30" s="14" t="n">
        <x:f>ROUND(L30*0.5+M30*0.3+(N30/5*100)*0.2,0)</x:f>
        <x:v>88</x:v>
      </x:c>
      <x:c r="P30" s="14" t="str">
        <x:f>IF(N30&lt;=2,"VERIFY",IF(AND(O30&gt;=82,N30&gt;=4),"E-A",IF(O30&gt;=74,"E-B","E-C")))</x:f>
        <x:v>E-A</x:v>
      </x:c>
      <x:c r="Q30" s="14" t="str">
        <x:v>기존 v2 제외 확인</x:v>
      </x:c>
      <x:c r="R30" s="14" t="str">
        <x:v>공식사이트 확인</x:v>
      </x:c>
      <x:c r="S30" s="14" t="str">
        <x:v>스마트 택배함 소형화 제안</x:v>
      </x:c>
      <x:c r="T30" s="14" t="str">
        <x:v>홈네트워크/단독형 공급조건</x:v>
      </x:c>
      <x:c r="U30" s="14" t="str">
        <x:v>2026-08-13</x:v>
      </x:c>
    </x:row>
    <x:row r="31" ht="46" customHeight="1">
      <x:c r="A31" s="14" t="str">
        <x:v>EXP-030</x:v>
      </x:c>
      <x:c r="B31" s="14" t="str">
        <x:v>S03</x:v>
      </x:c>
      <x:c r="C31" s="14" t="str">
        <x:v>STORAGE,SMART</x:v>
      </x:c>
      <x:c r="D31" s="14" t="str">
        <x:v>무인 보관·택배·세탁 락커</x:v>
      </x:c>
      <x:c r="E31" s="14" t="str">
        <x:v>스마트큐브</x:v>
      </x:c>
      <x:c r="F31" s="14" t="str">
        <x:v>운영·시스템</x:v>
      </x:c>
      <x:c r="G31" s="14" t="str">
        <x:v>https://content.rview.com/ko/cases/equipment-06/</x:v>
      </x:c>
      <x:c r="H31" s="14" t="str">
        <x:v>사례자료</x:v>
      </x:c>
      <x:c r="I31" s="14" t="str">
        <x:v>전국 무인 락커 운영/관리 사례</x:v>
      </x:c>
      <x:c r="J31" s="14" t="str"/>
      <x:c r="K31" s="14" t="str"/>
      <x:c r="L31" s="14" t="n">
        <x:v>84</x:v>
      </x:c>
      <x:c r="M31" s="14" t="n">
        <x:v>82</x:v>
      </x:c>
      <x:c r="N31" s="14" t="n">
        <x:v>3</x:v>
      </x:c>
      <x:c r="O31" s="14" t="n">
        <x:f>ROUND(L31*0.5+M31*0.3+(N31/5*100)*0.2,0)</x:f>
        <x:v>79</x:v>
      </x:c>
      <x:c r="P31" s="14" t="str">
        <x:f>IF(N31&lt;=2,"VERIFY",IF(AND(O31&gt;=82,N31&gt;=4),"E-A",IF(O31&gt;=74,"E-B","E-C")))</x:f>
        <x:v>E-B</x:v>
      </x:c>
      <x:c r="Q31" s="14" t="str">
        <x:v>기존 v2 제외 확인</x:v>
      </x:c>
      <x:c r="R31" s="14" t="str">
        <x:v>2차자료 확인</x:v>
      </x:c>
      <x:c r="S31" s="14" t="str">
        <x:v>운영형 락커의 전원주택/숙박 B2B 적용</x:v>
      </x:c>
      <x:c r="T31" s="14" t="str">
        <x:v>공식사이트·제조/공급 여부</x:v>
      </x:c>
      <x:c r="U31" s="14" t="str">
        <x:v>2026-08-13</x:v>
      </x:c>
    </x:row>
    <x:row r="32" ht="46" customHeight="1">
      <x:c r="A32" s="14" t="str">
        <x:v>EXP-031</x:v>
      </x:c>
      <x:c r="B32" s="14" t="str">
        <x:v>S04</x:v>
      </x:c>
      <x:c r="C32" s="14" t="str">
        <x:v>SECURITY,SMART</x:v>
      </x:c>
      <x:c r="D32" s="14" t="str">
        <x:v>AI CCTV·스마트홈 카메라</x:v>
      </x:c>
      <x:c r="E32" s="14" t="str">
        <x:v>트루엔</x:v>
      </x:c>
      <x:c r="F32" s="14" t="str">
        <x:v>제조·AI영상</x:v>
      </x:c>
      <x:c r="G32" s="14" t="str">
        <x:v>https://www.truen.co.kr/</x:v>
      </x:c>
      <x:c r="H32" s="14" t="str">
        <x:v>공식</x:v>
      </x:c>
      <x:c r="I32" s="14" t="str">
        <x:v>IP카메라·AI 영상분석·스마트홈 카메라 제품</x:v>
      </x:c>
      <x:c r="J32" s="14" t="str"/>
      <x:c r="K32" s="14" t="str"/>
      <x:c r="L32" s="14" t="n">
        <x:v>96</x:v>
      </x:c>
      <x:c r="M32" s="14" t="n">
        <x:v>38</x:v>
      </x:c>
      <x:c r="N32" s="14" t="n">
        <x:v>5</x:v>
      </x:c>
      <x:c r="O32" s="14" t="n">
        <x:f>ROUND(L32*0.5+M32*0.3+(N32/5*100)*0.2,0)</x:f>
        <x:v>79</x:v>
      </x:c>
      <x:c r="P32" s="14" t="str">
        <x:f>IF(N32&lt;=2,"VERIFY",IF(AND(O32&gt;=82,N32&gt;=4),"E-A",IF(O32&gt;=74,"E-B","E-C")))</x:f>
        <x:v>E-B</x:v>
      </x:c>
      <x:c r="Q32" s="14" t="str">
        <x:v>기존 v2 제외 확인</x:v>
      </x:c>
      <x:c r="R32" s="14" t="str">
        <x:v>공식사이트 확인</x:v>
      </x:c>
      <x:c r="S32" s="14" t="str">
        <x:v>공급/OEM 벤치마크, 주택 보안 패키지</x:v>
      </x:c>
      <x:c r="T32" s="14" t="str">
        <x:v>리셀러/OEM·가정용 SKU</x:v>
      </x:c>
      <x:c r="U32" s="14" t="str">
        <x:v>2026-08-13</x:v>
      </x:c>
    </x:row>
    <x:row r="33" ht="46" customHeight="1">
      <x:c r="A33" s="14" t="str">
        <x:v>EXP-032</x:v>
      </x:c>
      <x:c r="B33" s="14" t="str">
        <x:v>S04</x:v>
      </x:c>
      <x:c r="C33" s="14" t="str">
        <x:v>SECURITY</x:v>
      </x:c>
      <x:c r="D33" s="14" t="str">
        <x:v>CCTV 카메라</x:v>
      </x:c>
      <x:c r="E33" s="14" t="str">
        <x:v>원우이엔지</x:v>
      </x:c>
      <x:c r="F33" s="14" t="str">
        <x:v>제조·판매</x:v>
      </x:c>
      <x:c r="G33" s="14" t="str">
        <x:v>https://www.wonwoo.com/</x:v>
      </x:c>
      <x:c r="H33" s="14" t="str">
        <x:v>공식</x:v>
      </x:c>
      <x:c r="I33" s="14" t="str">
        <x:v>CCTV 카메라 제조/판매 및 높은 자체생산 성격</x:v>
      </x:c>
      <x:c r="J33" s="14" t="str"/>
      <x:c r="K33" s="14" t="str">
        <x:v>sales@wonwoo.com</x:v>
      </x:c>
      <x:c r="L33" s="14" t="n">
        <x:v>97</x:v>
      </x:c>
      <x:c r="M33" s="14" t="n">
        <x:v>62</x:v>
      </x:c>
      <x:c r="N33" s="14" t="n">
        <x:v>5</x:v>
      </x:c>
      <x:c r="O33" s="14" t="n">
        <x:f>ROUND(L33*0.5+M33*0.3+(N33/5*100)*0.2,0)</x:f>
        <x:v>87</x:v>
      </x:c>
      <x:c r="P33" s="14" t="str">
        <x:f>IF(N33&lt;=2,"VERIFY",IF(AND(O33&gt;=82,N33&gt;=4),"E-A",IF(O33&gt;=74,"E-B","E-C")))</x:f>
        <x:v>E-A</x:v>
      </x:c>
      <x:c r="Q33" s="14" t="str">
        <x:v>기존 v2 제외 확인</x:v>
      </x:c>
      <x:c r="R33" s="14" t="str">
        <x:v>공식사이트/이메일 확인</x:v>
      </x:c>
      <x:c r="S33" s="14" t="str">
        <x:v>국내제조 주택 CCTV 세트 구성</x:v>
      </x:c>
      <x:c r="T33" s="14" t="str">
        <x:v>MOQ/OEM/온라인판매</x:v>
      </x:c>
      <x:c r="U33" s="14" t="str">
        <x:v>2026-08-13</x:v>
      </x:c>
    </x:row>
    <x:row r="34" ht="46" customHeight="1">
      <x:c r="A34" s="14" t="str">
        <x:v>EXP-033</x:v>
      </x:c>
      <x:c r="B34" s="14" t="str">
        <x:v>S04</x:v>
      </x:c>
      <x:c r="C34" s="14" t="str">
        <x:v>SECURITY</x:v>
      </x:c>
      <x:c r="D34" s="14" t="str">
        <x:v>IP카메라·카메라모듈</x:v>
      </x:c>
      <x:c r="E34" s="14" t="str">
        <x:v>셀링스시스템</x:v>
      </x:c>
      <x:c r="F34" s="14" t="str">
        <x:v>R&amp;D·제조</x:v>
      </x:c>
      <x:c r="G34" s="14" t="str">
        <x:v>https://www.cellinx.co.kr/</x:v>
      </x:c>
      <x:c r="H34" s="14" t="str">
        <x:v>공식</x:v>
      </x:c>
      <x:c r="I34" s="14" t="str">
        <x:v>IP카메라 모듈/완제품 연구개발·공급</x:v>
      </x:c>
      <x:c r="J34" s="14" t="str"/>
      <x:c r="K34" s="14" t="str"/>
      <x:c r="L34" s="14" t="n">
        <x:v>95</x:v>
      </x:c>
      <x:c r="M34" s="14" t="n">
        <x:v>72</x:v>
      </x:c>
      <x:c r="N34" s="14" t="n">
        <x:v>5</x:v>
      </x:c>
      <x:c r="O34" s="14" t="n">
        <x:f>ROUND(L34*0.5+M34*0.3+(N34/5*100)*0.2,0)</x:f>
        <x:v>89</x:v>
      </x:c>
      <x:c r="P34" s="14" t="str">
        <x:f>IF(N34&lt;=2,"VERIFY",IF(AND(O34&gt;=82,N34&gt;=4),"E-A",IF(O34&gt;=74,"E-B","E-C")))</x:f>
        <x:v>E-A</x:v>
      </x:c>
      <x:c r="Q34" s="14" t="str">
        <x:v>기존 v2 제외 확인</x:v>
      </x:c>
      <x:c r="R34" s="14" t="str">
        <x:v>공식사이트 확인</x:v>
      </x:c>
      <x:c r="S34" s="14" t="str">
        <x:v>주택용 카메라 OEM/ODM 가능성</x:v>
      </x:c>
      <x:c r="T34" s="14" t="str">
        <x:v>완제품 라인/MOQ</x:v>
      </x:c>
      <x:c r="U34" s="14" t="str">
        <x:v>2026-08-13</x:v>
      </x:c>
    </x:row>
    <x:row r="35" ht="46" customHeight="1">
      <x:c r="A35" s="14" t="str">
        <x:v>EXP-034</x:v>
      </x:c>
      <x:c r="B35" s="14" t="str">
        <x:v>S04</x:v>
      </x:c>
      <x:c r="C35" s="14" t="str">
        <x:v>SECURITY,SMART</x:v>
      </x:c>
      <x:c r="D35" s="14" t="str">
        <x:v>영상 IoT·IP카메라</x:v>
      </x:c>
      <x:c r="E35" s="14" t="str">
        <x:v>에이앤티코리아(A&amp;T KOREA)</x:v>
      </x:c>
      <x:c r="F35" s="14" t="str">
        <x:v>R&amp;D·B2B</x:v>
      </x:c>
      <x:c r="G35" s="14" t="str">
        <x:v>https://www.antkr.com/</x:v>
      </x:c>
      <x:c r="H35" s="14" t="str">
        <x:v>공식</x:v>
      </x:c>
      <x:c r="I35" s="14" t="str">
        <x:v>영상 IoT/IP카메라 개발 공급</x:v>
      </x:c>
      <x:c r="J35" s="14" t="str"/>
      <x:c r="K35" s="14" t="str"/>
      <x:c r="L35" s="14" t="n">
        <x:v>92</x:v>
      </x:c>
      <x:c r="M35" s="14" t="n">
        <x:v>76</x:v>
      </x:c>
      <x:c r="N35" s="14" t="n">
        <x:v>4</x:v>
      </x:c>
      <x:c r="O35" s="14" t="n">
        <x:f>ROUND(L35*0.5+M35*0.3+(N35/5*100)*0.2,0)</x:f>
        <x:v>85</x:v>
      </x:c>
      <x:c r="P35" s="14" t="str">
        <x:f>IF(N35&lt;=2,"VERIFY",IF(AND(O35&gt;=82,N35&gt;=4),"E-A",IF(O35&gt;=74,"E-B","E-C")))</x:f>
        <x:v>E-A</x:v>
      </x:c>
      <x:c r="Q35" s="14" t="str">
        <x:v>기존 v2 제외 확인</x:v>
      </x:c>
      <x:c r="R35" s="14" t="str">
        <x:v>공식사이트 확인</x:v>
      </x:c>
      <x:c r="S35" s="14" t="str">
        <x:v>B2B 기술을 소비자 보안상품으로 재구성</x:v>
      </x:c>
      <x:c r="T35" s="14" t="str">
        <x:v>자체제조/OEM·온라인판매</x:v>
      </x:c>
      <x:c r="U35" s="14" t="str">
        <x:v>2026-08-13</x:v>
      </x:c>
    </x:row>
    <x:row r="36" ht="46" customHeight="1">
      <x:c r="A36" s="14" t="str">
        <x:v>EXP-035</x:v>
      </x:c>
      <x:c r="B36" s="14" t="str">
        <x:v>S04</x:v>
      </x:c>
      <x:c r="C36" s="14" t="str">
        <x:v>SECURITY</x:v>
      </x:c>
      <x:c r="D36" s="14" t="str">
        <x:v>CCTV 카메라 모듈</x:v>
      </x:c>
      <x:c r="E36" s="14" t="str">
        <x:v>파인트리커뮤니케이션즈</x:v>
      </x:c>
      <x:c r="F36" s="14" t="str">
        <x:v>제조 후보</x:v>
      </x:c>
      <x:c r="G36" s="14" t="str">
        <x:v>https://www.facebook.com/watchcamking/posts/3074656172688666/</x:v>
      </x:c>
      <x:c r="H36" s="14" t="str">
        <x:v>산업SNS</x:v>
      </x:c>
      <x:c r="I36" s="14" t="str">
        <x:v>국내 CCTV 카메라 핵심 모듈 기업으로 소개</x:v>
      </x:c>
      <x:c r="J36" s="14" t="str"/>
      <x:c r="K36" s="14" t="str"/>
      <x:c r="L36" s="14" t="n">
        <x:v>88</x:v>
      </x:c>
      <x:c r="M36" s="14" t="n">
        <x:v>92</x:v>
      </x:c>
      <x:c r="N36" s="14" t="n">
        <x:v>3</x:v>
      </x:c>
      <x:c r="O36" s="14" t="n">
        <x:f>ROUND(L36*0.5+M36*0.3+(N36/5*100)*0.2,0)</x:f>
        <x:v>84</x:v>
      </x:c>
      <x:c r="P36" s="14" t="str">
        <x:f>IF(N36&lt;=2,"VERIFY",IF(AND(O36&gt;=82,N36&gt;=4),"E-A",IF(O36&gt;=74,"E-B","E-C")))</x:f>
        <x:v>E-B</x:v>
      </x:c>
      <x:c r="Q36" s="14" t="str">
        <x:v>기존 v2 제외 확인</x:v>
      </x:c>
      <x:c r="R36" s="14" t="str">
        <x:v>2차자료 확인</x:v>
      </x:c>
      <x:c r="S36" s="14" t="str">
        <x:v>AEO 공백형 부품/제조업체 발굴</x:v>
      </x:c>
      <x:c r="T36" s="14" t="str">
        <x:v>공식사이트·연락처·현재사업</x:v>
      </x:c>
      <x:c r="U36" s="14" t="str">
        <x:v>2026-08-13</x:v>
      </x:c>
    </x:row>
    <x:row r="37" ht="46" customHeight="1">
      <x:c r="A37" s="14" t="str">
        <x:v>EXP-036</x:v>
      </x:c>
      <x:c r="B37" s="14" t="str">
        <x:v>S04</x:v>
      </x:c>
      <x:c r="C37" s="14" t="str">
        <x:v>SECURITY</x:v>
      </x:c>
      <x:c r="D37" s="14" t="str">
        <x:v>CCTV 카메라 모듈</x:v>
      </x:c>
      <x:c r="E37" s="14" t="str">
        <x:v>프로브디지털</x:v>
      </x:c>
      <x:c r="F37" s="14" t="str">
        <x:v>제조 후보</x:v>
      </x:c>
      <x:c r="G37" s="14" t="str">
        <x:v>https://www.facebook.com/watchcamking/posts/3074656172688666/</x:v>
      </x:c>
      <x:c r="H37" s="14" t="str">
        <x:v>산업SNS</x:v>
      </x:c>
      <x:c r="I37" s="14" t="str">
        <x:v>국내 CCTV 모듈 관련 기업으로 소개</x:v>
      </x:c>
      <x:c r="J37" s="14" t="str"/>
      <x:c r="K37" s="14" t="str"/>
      <x:c r="L37" s="14" t="n">
        <x:v>86</x:v>
      </x:c>
      <x:c r="M37" s="14" t="n">
        <x:v>92</x:v>
      </x:c>
      <x:c r="N37" s="14" t="n">
        <x:v>3</x:v>
      </x:c>
      <x:c r="O37" s="14" t="n">
        <x:f>ROUND(L37*0.5+M37*0.3+(N37/5*100)*0.2,0)</x:f>
        <x:v>83</x:v>
      </x:c>
      <x:c r="P37" s="14" t="str">
        <x:f>IF(N37&lt;=2,"VERIFY",IF(AND(O37&gt;=82,N37&gt;=4),"E-A",IF(O37&gt;=74,"E-B","E-C")))</x:f>
        <x:v>E-B</x:v>
      </x:c>
      <x:c r="Q37" s="14" t="str">
        <x:v>기존 v2 제외 확인</x:v>
      </x:c>
      <x:c r="R37" s="14" t="str">
        <x:v>2차자료 확인</x:v>
      </x:c>
      <x:c r="S37" s="14" t="str">
        <x:v>OEM 제조사 후보</x:v>
      </x:c>
      <x:c r="T37" s="14" t="str">
        <x:v>공식사이트·제품/연락처</x:v>
      </x:c>
      <x:c r="U37" s="14" t="str">
        <x:v>2026-08-13</x:v>
      </x:c>
    </x:row>
    <x:row r="38" ht="46" customHeight="1">
      <x:c r="A38" s="14" t="str">
        <x:v>EXP-037</x:v>
      </x:c>
      <x:c r="B38" s="14" t="str">
        <x:v>S04</x:v>
      </x:c>
      <x:c r="C38" s="14" t="str">
        <x:v>SECURITY</x:v>
      </x:c>
      <x:c r="D38" s="14" t="str">
        <x:v>CCTV 모듈·카메라</x:v>
      </x:c>
      <x:c r="E38" s="14" t="str">
        <x:v>비젼하이텍</x:v>
      </x:c>
      <x:c r="F38" s="14" t="str">
        <x:v>제조 후보</x:v>
      </x:c>
      <x:c r="G38" s="14" t="str">
        <x:v>https://www.facebook.com/watchcamking/posts/3074656172688666/</x:v>
      </x:c>
      <x:c r="H38" s="14" t="str">
        <x:v>산업SNS</x:v>
      </x:c>
      <x:c r="I38" s="14" t="str">
        <x:v>국내 CCTV 모듈 기업군으로 소개</x:v>
      </x:c>
      <x:c r="J38" s="14" t="str"/>
      <x:c r="K38" s="14" t="str"/>
      <x:c r="L38" s="14" t="n">
        <x:v>86</x:v>
      </x:c>
      <x:c r="M38" s="14" t="n">
        <x:v>92</x:v>
      </x:c>
      <x:c r="N38" s="14" t="n">
        <x:v>3</x:v>
      </x:c>
      <x:c r="O38" s="14" t="n">
        <x:f>ROUND(L38*0.5+M38*0.3+(N38/5*100)*0.2,0)</x:f>
        <x:v>83</x:v>
      </x:c>
      <x:c r="P38" s="14" t="str">
        <x:f>IF(N38&lt;=2,"VERIFY",IF(AND(O38&gt;=82,N38&gt;=4),"E-A",IF(O38&gt;=74,"E-B","E-C")))</x:f>
        <x:v>E-B</x:v>
      </x:c>
      <x:c r="Q38" s="14" t="str">
        <x:v>기존 v2 제외 확인</x:v>
      </x:c>
      <x:c r="R38" s="14" t="str">
        <x:v>2차자료 확인</x:v>
      </x:c>
      <x:c r="S38" s="14" t="str">
        <x:v>주택용 CCTV OEM 후보</x:v>
      </x:c>
      <x:c r="T38" s="14" t="str">
        <x:v>공식사이트·사업 지속</x:v>
      </x:c>
      <x:c r="U38" s="14" t="str">
        <x:v>2026-08-13</x:v>
      </x:c>
    </x:row>
    <x:row r="39" ht="46" customHeight="1">
      <x:c r="A39" s="14" t="str">
        <x:v>EXP-038</x:v>
      </x:c>
      <x:c r="B39" s="14" t="str">
        <x:v>S04</x:v>
      </x:c>
      <x:c r="C39" s="14" t="str">
        <x:v>SECURITY,SMART</x:v>
      </x:c>
      <x:c r="D39" s="14" t="str">
        <x:v>디지털도어락·출입</x:v>
      </x:c>
      <x:c r="E39" s="14" t="str">
        <x:v>SG전자통신</x:v>
      </x:c>
      <x:c r="F39" s="14" t="str">
        <x:v>국내제조</x:v>
      </x:c>
      <x:c r="G39" s="14" t="str">
        <x:v>https://sgelect.com/?page_id=965</x:v>
      </x:c>
      <x:c r="H39" s="14" t="str">
        <x:v>공식</x:v>
      </x:c>
      <x:c r="I39" s="14" t="str">
        <x:v>디지털 도어락 국내 제조 관련 제품/기업 페이지</x:v>
      </x:c>
      <x:c r="J39" s="14" t="str"/>
      <x:c r="K39" s="14" t="str"/>
      <x:c r="L39" s="14" t="n">
        <x:v>92</x:v>
      </x:c>
      <x:c r="M39" s="14" t="n">
        <x:v>76</x:v>
      </x:c>
      <x:c r="N39" s="14" t="n">
        <x:v>4</x:v>
      </x:c>
      <x:c r="O39" s="14" t="n">
        <x:f>ROUND(L39*0.5+M39*0.3+(N39/5*100)*0.2,0)</x:f>
        <x:v>85</x:v>
      </x:c>
      <x:c r="P39" s="14" t="str">
        <x:f>IF(N39&lt;=2,"VERIFY",IF(AND(O39&gt;=82,N39&gt;=4),"E-A",IF(O39&gt;=74,"E-B","E-C")))</x:f>
        <x:v>E-A</x:v>
      </x:c>
      <x:c r="Q39" s="14" t="str">
        <x:v>기존 v2 제외 확인</x:v>
      </x:c>
      <x:c r="R39" s="14" t="str">
        <x:v>공식사이트 확인</x:v>
      </x:c>
      <x:c r="S39" s="14" t="str">
        <x:v>RHINORY 보안/출입 PB 가능성</x:v>
      </x:c>
      <x:c r="T39" s="14" t="str">
        <x:v>OEM/온라인 유통 조건</x:v>
      </x:c>
      <x:c r="U39" s="14" t="str">
        <x:v>2026-08-13</x:v>
      </x:c>
    </x:row>
    <x:row r="40" ht="46" customHeight="1">
      <x:c r="A40" s="14" t="str">
        <x:v>EXP-039</x:v>
      </x:c>
      <x:c r="B40" s="14" t="str">
        <x:v>S04</x:v>
      </x:c>
      <x:c r="C40" s="14" t="str">
        <x:v>SECURITY,SMART</x:v>
      </x:c>
      <x:c r="D40" s="14" t="str">
        <x:v>VMS·영상보안</x:v>
      </x:c>
      <x:c r="E40" s="14" t="str">
        <x:v>이노뎁</x:v>
      </x:c>
      <x:c r="F40" s="14" t="str">
        <x:v>보안솔루션</x:v>
      </x:c>
      <x:c r="G40" s="14" t="str">
        <x:v>https://www.boannews.com/media/view.asp?idx=125256</x:v>
      </x:c>
      <x:c r="H40" s="14" t="str">
        <x:v>산업기사</x:v>
      </x:c>
      <x:c r="I40" s="14" t="str">
        <x:v>국내 통합 영상보안/VMS 주요 사업자</x:v>
      </x:c>
      <x:c r="J40" s="14" t="str"/>
      <x:c r="K40" s="14" t="str"/>
      <x:c r="L40" s="14" t="n">
        <x:v>91</x:v>
      </x:c>
      <x:c r="M40" s="14" t="n">
        <x:v>30</x:v>
      </x:c>
      <x:c r="N40" s="14" t="n">
        <x:v>4</x:v>
      </x:c>
      <x:c r="O40" s="14" t="n">
        <x:f>ROUND(L40*0.5+M40*0.3+(N40/5*100)*0.2,0)</x:f>
        <x:v>71</x:v>
      </x:c>
      <x:c r="P40" s="14" t="str">
        <x:f>IF(N40&lt;=2,"VERIFY",IF(AND(O40&gt;=82,N40&gt;=4),"E-A",IF(O40&gt;=74,"E-B","E-C")))</x:f>
        <x:v>E-C</x:v>
      </x:c>
      <x:c r="Q40" s="14" t="str">
        <x:v>기존 v2 제외 확인</x:v>
      </x:c>
      <x:c r="R40" s="14" t="str">
        <x:v>2차자료 확인</x:v>
      </x:c>
      <x:c r="S40" s="14" t="str">
        <x:v>상위 벤치마크·B2B 보안 파트너</x:v>
      </x:c>
      <x:c r="T40" s="14" t="str">
        <x:v>주택형 제품/소형사업장 적용</x:v>
      </x:c>
      <x:c r="U40" s="14" t="str">
        <x:v>2026-08-13</x:v>
      </x:c>
    </x:row>
    <x:row r="41" ht="46" customHeight="1">
      <x:c r="A41" s="14" t="str">
        <x:v>EXP-040</x:v>
      </x:c>
      <x:c r="B41" s="14" t="str">
        <x:v>S04</x:v>
      </x:c>
      <x:c r="C41" s="14" t="str">
        <x:v>SMART</x:v>
      </x:c>
      <x:c r="D41" s="14" t="str">
        <x:v>스마트홈 컨트롤·OEM/ODM</x:v>
      </x:c>
      <x:c r="E41" s="14" t="str">
        <x:v>스마텍전자</x:v>
      </x:c>
      <x:c r="F41" s="14" t="str">
        <x:v>OEM·ODM</x:v>
      </x:c>
      <x:c r="G41" s="14" t="str">
        <x:v>https://smatek.com/ko/oem-odm-services/</x:v>
      </x:c>
      <x:c r="H41" s="14" t="str">
        <x:v>공식</x:v>
      </x:c>
      <x:c r="I41" s="14" t="str">
        <x:v>스마트 제어기기 OEM/ODM 서비스</x:v>
      </x:c>
      <x:c r="J41" s="14" t="str"/>
      <x:c r="K41" s="14" t="str"/>
      <x:c r="L41" s="14" t="n">
        <x:v>94</x:v>
      </x:c>
      <x:c r="M41" s="14" t="n">
        <x:v>66</x:v>
      </x:c>
      <x:c r="N41" s="14" t="n">
        <x:v>5</x:v>
      </x:c>
      <x:c r="O41" s="14" t="n">
        <x:f>ROUND(L41*0.5+M41*0.3+(N41/5*100)*0.2,0)</x:f>
        <x:v>87</x:v>
      </x:c>
      <x:c r="P41" s="14" t="str">
        <x:f>IF(N41&lt;=2,"VERIFY",IF(AND(O41&gt;=82,N41&gt;=4),"E-A",IF(O41&gt;=74,"E-B","E-C")))</x:f>
        <x:v>E-A</x:v>
      </x:c>
      <x:c r="Q41" s="14" t="str">
        <x:v>기존 v2 제외 확인</x:v>
      </x:c>
      <x:c r="R41" s="14" t="str">
        <x:v>공식사이트 확인</x:v>
      </x:c>
      <x:c r="S41" s="14" t="str">
        <x:v>RHINORY 스마트홈 PB/ODM</x:v>
      </x:c>
      <x:c r="T41" s="14" t="str">
        <x:v>MOQ·개발비·인증</x:v>
      </x:c>
      <x:c r="U41" s="14" t="str">
        <x:v>2026-08-13</x:v>
      </x:c>
    </x:row>
    <x:row r="42" ht="46" customHeight="1">
      <x:c r="A42" s="14" t="str">
        <x:v>EXP-041</x:v>
      </x:c>
      <x:c r="B42" s="14" t="str">
        <x:v>S05</x:v>
      </x:c>
      <x:c r="C42" s="14" t="str">
        <x:v>OUTDOOR</x:v>
      </x:c>
      <x:c r="D42" s="14" t="str">
        <x:v>시스템퍼골라</x:v>
      </x:c>
      <x:c r="E42" s="14" t="str">
        <x:v>오스카프로덕트</x:v>
      </x:c>
      <x:c r="F42" s="14" t="str">
        <x:v>제조·시공</x:v>
      </x:c>
      <x:c r="G42" s="14" t="str">
        <x:v>https://oska.co.kr/</x:v>
      </x:c>
      <x:c r="H42" s="14" t="str">
        <x:v>공식</x:v>
      </x:c>
      <x:c r="I42" s="14" t="str">
        <x:v>주거/리조트/상업용 프리미엄 시스템 퍼골라</x:v>
      </x:c>
      <x:c r="J42" s="14" t="str"/>
      <x:c r="K42" s="14" t="str"/>
      <x:c r="L42" s="14" t="n">
        <x:v>95</x:v>
      </x:c>
      <x:c r="M42" s="14" t="n">
        <x:v>58</x:v>
      </x:c>
      <x:c r="N42" s="14" t="n">
        <x:v>5</x:v>
      </x:c>
      <x:c r="O42" s="14" t="n">
        <x:f>ROUND(L42*0.5+M42*0.3+(N42/5*100)*0.2,0)</x:f>
        <x:v>85</x:v>
      </x:c>
      <x:c r="P42" s="14" t="str">
        <x:f>IF(N42&lt;=2,"VERIFY",IF(AND(O42&gt;=82,N42&gt;=4),"E-A",IF(O42&gt;=74,"E-B","E-C")))</x:f>
        <x:v>E-A</x:v>
      </x:c>
      <x:c r="Q42" s="14" t="str">
        <x:v>기존 v2 제외 확인</x:v>
      </x:c>
      <x:c r="R42" s="14" t="str">
        <x:v>공식사이트 확인</x:v>
      </x:c>
      <x:c r="S42" s="14" t="str">
        <x:v>프리미엄 대표상품 공급/설치 제휴</x:v>
      </x:c>
      <x:c r="T42" s="14" t="str">
        <x:v>도매/전국 시공/가격정책</x:v>
      </x:c>
      <x:c r="U42" s="14" t="str">
        <x:v>2026-08-13</x:v>
      </x:c>
    </x:row>
    <x:row r="43" ht="46" customHeight="1">
      <x:c r="A43" s="14" t="str">
        <x:v>EXP-042</x:v>
      </x:c>
      <x:c r="B43" s="14" t="str">
        <x:v>S05</x:v>
      </x:c>
      <x:c r="C43" s="14" t="str">
        <x:v>OUTDOOR</x:v>
      </x:c>
      <x:c r="D43" s="14" t="str">
        <x:v>스카이어닝·시스템퍼골라</x:v>
      </x:c>
      <x:c r="E43" s="14" t="str">
        <x:v>썬베스트</x:v>
      </x:c>
      <x:c r="F43" s="14" t="str">
        <x:v>제작·시공</x:v>
      </x:c>
      <x:c r="G43" s="14" t="str">
        <x:v>https://sunbest.co.kr/bizdemo94552/home/portfolio/page0601.php</x:v>
      </x:c>
      <x:c r="H43" s="14" t="str">
        <x:v>공식</x:v>
      </x:c>
      <x:c r="I43" s="14" t="str">
        <x:v>스카이어닝·시스템 퍼골라 시공 제품군</x:v>
      </x:c>
      <x:c r="J43" s="14" t="str"/>
      <x:c r="K43" s="14" t="str"/>
      <x:c r="L43" s="14" t="n">
        <x:v>91</x:v>
      </x:c>
      <x:c r="M43" s="14" t="n">
        <x:v>78</x:v>
      </x:c>
      <x:c r="N43" s="14" t="n">
        <x:v>4</x:v>
      </x:c>
      <x:c r="O43" s="14" t="n">
        <x:f>ROUND(L43*0.5+M43*0.3+(N43/5*100)*0.2,0)</x:f>
        <x:v>85</x:v>
      </x:c>
      <x:c r="P43" s="14" t="str">
        <x:f>IF(N43&lt;=2,"VERIFY",IF(AND(O43&gt;=82,N43&gt;=4),"E-A",IF(O43&gt;=74,"E-B","E-C")))</x:f>
        <x:v>E-A</x:v>
      </x:c>
      <x:c r="Q43" s="14" t="str">
        <x:v>기존 v2 제외 확인</x:v>
      </x:c>
      <x:c r="R43" s="14" t="str">
        <x:v>공식사이트 확인</x:v>
      </x:c>
      <x:c r="S43" s="14" t="str">
        <x:v>중소 차양업체의 전원주택 리드 확대</x:v>
      </x:c>
      <x:c r="T43" s="14" t="str">
        <x:v>전국시공·제품 규격</x:v>
      </x:c>
      <x:c r="U43" s="14" t="str">
        <x:v>2026-08-13</x:v>
      </x:c>
    </x:row>
    <x:row r="44" ht="46" customHeight="1">
      <x:c r="A44" s="14" t="str">
        <x:v>EXP-043</x:v>
      </x:c>
      <x:c r="B44" s="14" t="str">
        <x:v>S05</x:v>
      </x:c>
      <x:c r="C44" s="14" t="str">
        <x:v>OUTDOOR</x:v>
      </x:c>
      <x:c r="D44" s="14" t="str">
        <x:v>시스템퍼골라·루버</x:v>
      </x:c>
      <x:c r="E44" s="14" t="str">
        <x:v>넥스트루버</x:v>
      </x:c>
      <x:c r="F44" s="14" t="str">
        <x:v>제작·시공</x:v>
      </x:c>
      <x:c r="G44" s="14" t="str">
        <x:v>https://nextlouver.com/파고라루바-시스템파고라-합성목재루바-시공사례/</x:v>
      </x:c>
      <x:c r="H44" s="14" t="str">
        <x:v>공식</x:v>
      </x:c>
      <x:c r="I44" s="14" t="str">
        <x:v>주택 테라스 시스템퍼골라/루버 시공 사례</x:v>
      </x:c>
      <x:c r="J44" s="14" t="str"/>
      <x:c r="K44" s="14" t="str"/>
      <x:c r="L44" s="14" t="n">
        <x:v>92</x:v>
      </x:c>
      <x:c r="M44" s="14" t="n">
        <x:v>82</x:v>
      </x:c>
      <x:c r="N44" s="14" t="n">
        <x:v>4</x:v>
      </x:c>
      <x:c r="O44" s="14" t="n">
        <x:f>ROUND(L44*0.5+M44*0.3+(N44/5*100)*0.2,0)</x:f>
        <x:v>87</x:v>
      </x:c>
      <x:c r="P44" s="14" t="str">
        <x:f>IF(N44&lt;=2,"VERIFY",IF(AND(O44&gt;=82,N44&gt;=4),"E-A",IF(O44&gt;=74,"E-B","E-C")))</x:f>
        <x:v>E-A</x:v>
      </x:c>
      <x:c r="Q44" s="14" t="str">
        <x:v>기존 v2 제외 확인</x:v>
      </x:c>
      <x:c r="R44" s="14" t="str">
        <x:v>공식사이트 확인</x:v>
      </x:c>
      <x:c r="S44" s="14" t="str">
        <x:v>전원주택 파고라/루버 묶음</x:v>
      </x:c>
      <x:c r="T44" s="14" t="str">
        <x:v>제조/수입 구조·공급가</x:v>
      </x:c>
      <x:c r="U44" s="14" t="str">
        <x:v>2026-08-13</x:v>
      </x:c>
    </x:row>
    <x:row r="45" ht="46" customHeight="1">
      <x:c r="A45" s="14" t="str">
        <x:v>EXP-044</x:v>
      </x:c>
      <x:c r="B45" s="14" t="str">
        <x:v>S05</x:v>
      </x:c>
      <x:c r="C45" s="14" t="str">
        <x:v>OUTDOOR</x:v>
      </x:c>
      <x:c r="D45" s="14" t="str">
        <x:v>전동 시스템퍼골라</x:v>
      </x:c>
      <x:c r="E45" s="14" t="str">
        <x:v>테라움 퍼골라</x:v>
      </x:c>
      <x:c r="F45" s="14" t="str">
        <x:v>공급·시공</x:v>
      </x:c>
      <x:c r="G45" s="14" t="str">
        <x:v>https://terraum-pergola.kr/ares</x:v>
      </x:c>
      <x:c r="H45" s="14" t="str">
        <x:v>공식</x:v>
      </x:c>
      <x:c r="I45" s="14" t="str">
        <x:v>전동 완전개폐 시스템 퍼골라 제품</x:v>
      </x:c>
      <x:c r="J45" s="14" t="str"/>
      <x:c r="K45" s="14" t="str"/>
      <x:c r="L45" s="14" t="n">
        <x:v>90</x:v>
      </x:c>
      <x:c r="M45" s="14" t="n">
        <x:v>74</x:v>
      </x:c>
      <x:c r="N45" s="14" t="n">
        <x:v>4</x:v>
      </x:c>
      <x:c r="O45" s="14" t="n">
        <x:f>ROUND(L45*0.5+M45*0.3+(N45/5*100)*0.2,0)</x:f>
        <x:v>83</x:v>
      </x:c>
      <x:c r="P45" s="14" t="str">
        <x:f>IF(N45&lt;=2,"VERIFY",IF(AND(O45&gt;=82,N45&gt;=4),"E-A",IF(O45&gt;=74,"E-B","E-C")))</x:f>
        <x:v>E-A</x:v>
      </x:c>
      <x:c r="Q45" s="14" t="str">
        <x:v>기존 v2 제외 확인</x:v>
      </x:c>
      <x:c r="R45" s="14" t="str">
        <x:v>공식제품 확인</x:v>
      </x:c>
      <x:c r="S45" s="14" t="str">
        <x:v>전동퍼골라 프리미엄 SKU</x:v>
      </x:c>
      <x:c r="T45" s="14" t="str">
        <x:v>수입원/시공권역</x:v>
      </x:c>
      <x:c r="U45" s="14" t="str">
        <x:v>2026-08-13</x:v>
      </x:c>
    </x:row>
    <x:row r="46" ht="46" customHeight="1">
      <x:c r="A46" s="14" t="str">
        <x:v>EXP-045</x:v>
      </x:c>
      <x:c r="B46" s="14" t="str">
        <x:v>S05</x:v>
      </x:c>
      <x:c r="C46" s="14" t="str">
        <x:v>OUTDOOR</x:v>
      </x:c>
      <x:c r="D46" s="14" t="str">
        <x:v>데크·퍼골라·목재</x:v>
      </x:c>
      <x:c r="E46" s="14" t="str">
        <x:v>우드24</x:v>
      </x:c>
      <x:c r="F46" s="14" t="str">
        <x:v>자재·시공</x:v>
      </x:c>
      <x:c r="G46" s="14" t="str">
        <x:v>https://wood24.kr/case</x:v>
      </x:c>
      <x:c r="H46" s="14" t="str">
        <x:v>공식</x:v>
      </x:c>
      <x:c r="I46" s="14" t="str">
        <x:v>자재 직공급 및 데크/퍼골라 시공사례가 지속</x:v>
      </x:c>
      <x:c r="J46" s="14" t="str"/>
      <x:c r="K46" s="14" t="str"/>
      <x:c r="L46" s="14" t="n">
        <x:v>94</x:v>
      </x:c>
      <x:c r="M46" s="14" t="n">
        <x:v>52</x:v>
      </x:c>
      <x:c r="N46" s="14" t="n">
        <x:v>5</x:v>
      </x:c>
      <x:c r="O46" s="14" t="n">
        <x:f>ROUND(L46*0.5+M46*0.3+(N46/5*100)*0.2,0)</x:f>
        <x:v>83</x:v>
      </x:c>
      <x:c r="P46" s="14" t="str">
        <x:f>IF(N46&lt;=2,"VERIFY",IF(AND(O46&gt;=82,N46&gt;=4),"E-A",IF(O46&gt;=74,"E-B","E-C")))</x:f>
        <x:v>E-A</x:v>
      </x:c>
      <x:c r="Q46" s="14" t="str">
        <x:v>기존 v2 제외 확인</x:v>
      </x:c>
      <x:c r="R46" s="14" t="str">
        <x:v>공식사이트 확인</x:v>
      </x:c>
      <x:c r="S46" s="14" t="str">
        <x:v>자재+시공 견적형 파트너</x:v>
      </x:c>
      <x:c r="T46" s="14" t="str">
        <x:v>도매가/배송/지역</x:v>
      </x:c>
      <x:c r="U46" s="14" t="str">
        <x:v>2026-08-13</x:v>
      </x:c>
    </x:row>
    <x:row r="47" ht="46" customHeight="1">
      <x:c r="A47" s="14" t="str">
        <x:v>EXP-046</x:v>
      </x:c>
      <x:c r="B47" s="14" t="str">
        <x:v>S05</x:v>
      </x:c>
      <x:c r="C47" s="14" t="str">
        <x:v>OUTDOOR,BOUNDARY</x:v>
      </x:c>
      <x:c r="D47" s="14" t="str">
        <x:v>합성목재·데크·펜스</x:v>
      </x:c>
      <x:c r="E47" s="14" t="str">
        <x:v>경동산업 / 예스팀바</x:v>
      </x:c>
      <x:c r="F47" s="14" t="str">
        <x:v>제조</x:v>
      </x:c>
      <x:c r="G47" s="14" t="str">
        <x:v>https://yestimber.com/</x:v>
      </x:c>
      <x:c r="H47" s="14" t="str">
        <x:v>공식</x:v>
      </x:c>
      <x:c r="I47" s="14" t="str">
        <x:v>국내 WPC 합성목재 제조 및 데크/펜스 제품</x:v>
      </x:c>
      <x:c r="J47" s="14" t="str"/>
      <x:c r="K47" s="14" t="str"/>
      <x:c r="L47" s="14" t="n">
        <x:v>97</x:v>
      </x:c>
      <x:c r="M47" s="14" t="n">
        <x:v>48</x:v>
      </x:c>
      <x:c r="N47" s="14" t="n">
        <x:v>5</x:v>
      </x:c>
      <x:c r="O47" s="14" t="n">
        <x:f>ROUND(L47*0.5+M47*0.3+(N47/5*100)*0.2,0)</x:f>
        <x:v>83</x:v>
      </x:c>
      <x:c r="P47" s="14" t="str">
        <x:f>IF(N47&lt;=2,"VERIFY",IF(AND(O47&gt;=82,N47&gt;=4),"E-A",IF(O47&gt;=74,"E-B","E-C")))</x:f>
        <x:v>E-A</x:v>
      </x:c>
      <x:c r="Q47" s="14" t="str">
        <x:v>기존 v2 제외 확인</x:v>
      </x:c>
      <x:c r="R47" s="14" t="str">
        <x:v>공식사이트 확인</x:v>
      </x:c>
      <x:c r="S47" s="14" t="str">
        <x:v>국내제조 데크/펜스 핵심 공급사</x:v>
      </x:c>
      <x:c r="T47" s="14" t="str">
        <x:v>온라인 리셀러/OEM</x:v>
      </x:c>
      <x:c r="U47" s="14" t="str">
        <x:v>2026-08-13</x:v>
      </x:c>
    </x:row>
    <x:row r="48" ht="46" customHeight="1">
      <x:c r="A48" s="14" t="str">
        <x:v>EXP-047</x:v>
      </x:c>
      <x:c r="B48" s="14" t="str">
        <x:v>S05</x:v>
      </x:c>
      <x:c r="C48" s="14" t="str">
        <x:v>OUTDOOR</x:v>
      </x:c>
      <x:c r="D48" s="14" t="str">
        <x:v>B2B 야외가구</x:v>
      </x:c>
      <x:c r="E48" s="14" t="str">
        <x:v>오스토(OSTO)</x:v>
      </x:c>
      <x:c r="F48" s="14" t="str">
        <x:v>B2B·맞춤</x:v>
      </x:c>
      <x:c r="G48" s="14" t="str">
        <x:v>https://osto.co.kr/outdoor/</x:v>
      </x:c>
      <x:c r="H48" s="14" t="str">
        <x:v>공식</x:v>
      </x:c>
      <x:c r="I48" s="14" t="str">
        <x:v>아웃도어 가구 프로젝트/B2B 견적형 제품</x:v>
      </x:c>
      <x:c r="J48" s="14" t="str"/>
      <x:c r="K48" s="14" t="str"/>
      <x:c r="L48" s="14" t="n">
        <x:v>90</x:v>
      </x:c>
      <x:c r="M48" s="14" t="n">
        <x:v>66</x:v>
      </x:c>
      <x:c r="N48" s="14" t="n">
        <x:v>5</x:v>
      </x:c>
      <x:c r="O48" s="14" t="n">
        <x:f>ROUND(L48*0.5+M48*0.3+(N48/5*100)*0.2,0)</x:f>
        <x:v>85</x:v>
      </x:c>
      <x:c r="P48" s="14" t="str">
        <x:f>IF(N48&lt;=2,"VERIFY",IF(AND(O48&gt;=82,N48&gt;=4),"E-A",IF(O48&gt;=74,"E-B","E-C")))</x:f>
        <x:v>E-A</x:v>
      </x:c>
      <x:c r="Q48" s="14" t="str">
        <x:v>기존 v2 제외 확인</x:v>
      </x:c>
      <x:c r="R48" s="14" t="str">
        <x:v>공식사이트 확인</x:v>
      </x:c>
      <x:c r="S48" s="14" t="str">
        <x:v>전원주택 야외가구 큐레이션</x:v>
      </x:c>
      <x:c r="T48" s="14" t="str">
        <x:v>리셀러/도매/OEM</x:v>
      </x:c>
      <x:c r="U48" s="14" t="str">
        <x:v>2026-08-13</x:v>
      </x:c>
    </x:row>
    <x:row r="49" ht="46" customHeight="1">
      <x:c r="A49" s="14" t="str">
        <x:v>EXP-048</x:v>
      </x:c>
      <x:c r="B49" s="14" t="str">
        <x:v>S05</x:v>
      </x:c>
      <x:c r="C49" s="14" t="str">
        <x:v>OUTDOOR,BOUNDARY</x:v>
      </x:c>
      <x:c r="D49" s="14" t="str">
        <x:v>합성데크·사이딩·펜스</x:v>
      </x:c>
      <x:c r="E49" s="14" t="str">
        <x:v>메이플우드</x:v>
      </x:c>
      <x:c r="F49" s="14" t="str">
        <x:v>자재·유통</x:v>
      </x:c>
      <x:c r="G49" s="14" t="str">
        <x:v>https://maplewood.co.kr/</x:v>
      </x:c>
      <x:c r="H49" s="14" t="str">
        <x:v>공식</x:v>
      </x:c>
      <x:c r="I49" s="14" t="str">
        <x:v>합성목재 데크/사이딩/펜스 전문 제품군</x:v>
      </x:c>
      <x:c r="J49" s="14" t="str"/>
      <x:c r="K49" s="14" t="str"/>
      <x:c r="L49" s="14" t="n">
        <x:v>91</x:v>
      </x:c>
      <x:c r="M49" s="14" t="n">
        <x:v>70</x:v>
      </x:c>
      <x:c r="N49" s="14" t="n">
        <x:v>5</x:v>
      </x:c>
      <x:c r="O49" s="14" t="n">
        <x:f>ROUND(L49*0.5+M49*0.3+(N49/5*100)*0.2,0)</x:f>
        <x:v>87</x:v>
      </x:c>
      <x:c r="P49" s="14" t="str">
        <x:f>IF(N49&lt;=2,"VERIFY",IF(AND(O49&gt;=82,N49&gt;=4),"E-A",IF(O49&gt;=74,"E-B","E-C")))</x:f>
        <x:v>E-A</x:v>
      </x:c>
      <x:c r="Q49" s="14" t="str">
        <x:v>기존 v2 제외 확인</x:v>
      </x:c>
      <x:c r="R49" s="14" t="str">
        <x:v>공식사이트 확인</x:v>
      </x:c>
      <x:c r="S49" s="14" t="str">
        <x:v>멀티 외장/마당 자재 공급</x:v>
      </x:c>
      <x:c r="T49" s="14" t="str">
        <x:v>직수입/제조·도매가</x:v>
      </x:c>
      <x:c r="U49" s="14" t="str">
        <x:v>2026-08-13</x:v>
      </x:c>
    </x:row>
    <x:row r="50" ht="46" customHeight="1">
      <x:c r="A50" s="14" t="str">
        <x:v>EXP-049</x:v>
      </x:c>
      <x:c r="B50" s="14" t="str">
        <x:v>S05</x:v>
      </x:c>
      <x:c r="C50" s="14" t="str">
        <x:v>OUTDOOR,BOUNDARY</x:v>
      </x:c>
      <x:c r="D50" s="14" t="str">
        <x:v>합성목재·데크·휀스</x:v>
      </x:c>
      <x:c r="E50" s="14" t="str">
        <x:v>이우드</x:v>
      </x:c>
      <x:c r="F50" s="14" t="str">
        <x:v>전문유통·시공</x:v>
      </x:c>
      <x:c r="G50" s="14" t="str">
        <x:v>https://ewoodmall.co.kr/</x:v>
      </x:c>
      <x:c r="H50" s="14" t="str">
        <x:v>공식</x:v>
      </x:c>
      <x:c r="I50" s="14" t="str">
        <x:v>합성목재/데크/펜스 전문몰</x:v>
      </x:c>
      <x:c r="J50" s="14" t="str"/>
      <x:c r="K50" s="14" t="str"/>
      <x:c r="L50" s="14" t="n">
        <x:v>89</x:v>
      </x:c>
      <x:c r="M50" s="14" t="n">
        <x:v>58</x:v>
      </x:c>
      <x:c r="N50" s="14" t="n">
        <x:v>5</x:v>
      </x:c>
      <x:c r="O50" s="14" t="n">
        <x:f>ROUND(L50*0.5+M50*0.3+(N50/5*100)*0.2,0)</x:f>
        <x:v>82</x:v>
      </x:c>
      <x:c r="P50" s="14" t="str">
        <x:f>IF(N50&lt;=2,"VERIFY",IF(AND(O50&gt;=82,N50&gt;=4),"E-A",IF(O50&gt;=74,"E-B","E-C")))</x:f>
        <x:v>E-A</x:v>
      </x:c>
      <x:c r="Q50" s="14" t="str">
        <x:v>기존 v2 제외 확인</x:v>
      </x:c>
      <x:c r="R50" s="14" t="str">
        <x:v>공식사이트 확인</x:v>
      </x:c>
      <x:c r="S50" s="14" t="str">
        <x:v>상품형 데크자재 공급처</x:v>
      </x:c>
      <x:c r="T50" s="14" t="str">
        <x:v>B2B 공급가/배송</x:v>
      </x:c>
      <x:c r="U50" s="14" t="str">
        <x:v>2026-08-13</x:v>
      </x:c>
    </x:row>
    <x:row r="51" ht="46" customHeight="1">
      <x:c r="A51" s="14" t="str">
        <x:v>EXP-050</x:v>
      </x:c>
      <x:c r="B51" s="14" t="str">
        <x:v>S05</x:v>
      </x:c>
      <x:c r="C51" s="14" t="str">
        <x:v>OUTDOOR</x:v>
      </x:c>
      <x:c r="D51" s="14" t="str">
        <x:v>WPC 합성데크</x:v>
      </x:c>
      <x:c r="E51" s="14" t="str">
        <x:v>(주)에코로</x:v>
      </x:c>
      <x:c r="F51" s="14" t="str">
        <x:v>직접생산</x:v>
      </x:c>
      <x:c r="G51" s="14" t="str">
        <x:v>https://linkonbiz.com/product/8986</x:v>
      </x:c>
      <x:c r="H51" s="14" t="str">
        <x:v>산업플랫폼</x:v>
      </x:c>
      <x:c r="I51" s="14" t="str">
        <x:v>국내 직접생산·KS 관련 WPC 데크 제품 소개</x:v>
      </x:c>
      <x:c r="J51" s="14" t="str"/>
      <x:c r="K51" s="14" t="str"/>
      <x:c r="L51" s="14" t="n">
        <x:v>96</x:v>
      </x:c>
      <x:c r="M51" s="14" t="n">
        <x:v>88</x:v>
      </x:c>
      <x:c r="N51" s="14" t="n">
        <x:v>3</x:v>
      </x:c>
      <x:c r="O51" s="14" t="n">
        <x:f>ROUND(L51*0.5+M51*0.3+(N51/5*100)*0.2,0)</x:f>
        <x:v>86</x:v>
      </x:c>
      <x:c r="P51" s="14" t="str">
        <x:f>IF(N51&lt;=2,"VERIFY",IF(AND(O51&gt;=82,N51&gt;=4),"E-A",IF(O51&gt;=74,"E-B","E-C")))</x:f>
        <x:v>E-B</x:v>
      </x:c>
      <x:c r="Q51" s="14" t="str">
        <x:v>기존 v2 제외 확인</x:v>
      </x:c>
      <x:c r="R51" s="14" t="str">
        <x:v>2차자료 확인</x:v>
      </x:c>
      <x:c r="S51" s="14" t="str">
        <x:v>제품력 대비 디지털 공백 큰 제조사 후보</x:v>
      </x:c>
      <x:c r="T51" s="14" t="str">
        <x:v>공식사이트·연락처·OEM</x:v>
      </x:c>
      <x:c r="U51" s="14" t="str">
        <x:v>2026-08-13</x:v>
      </x:c>
    </x:row>
    <x:row r="52" ht="46" customHeight="1">
      <x:c r="A52" s="14" t="str">
        <x:v>EXP-051</x:v>
      </x:c>
      <x:c r="B52" s="14" t="str">
        <x:v>S06</x:v>
      </x:c>
      <x:c r="C52" s="14" t="str">
        <x:v>WATER</x:v>
      </x:c>
      <x:c r="D52" s="14" t="str">
        <x:v>모듈 수영장·자쿠지</x:v>
      </x:c>
      <x:c r="E52" s="14" t="str">
        <x:v>스토라지박스</x:v>
      </x:c>
      <x:c r="F52" s="14" t="str">
        <x:v>설계·시공</x:v>
      </x:c>
      <x:c r="G52" s="14" t="str">
        <x:v>https://storagebox.kr/</x:v>
      </x:c>
      <x:c r="H52" s="14" t="str">
        <x:v>공식</x:v>
      </x:c>
      <x:c r="I52" s="14" t="str">
        <x:v>모듈/스틸 수영장, 풀빌라, 자쿠지 제품/시공</x:v>
      </x:c>
      <x:c r="J52" s="14" t="str"/>
      <x:c r="K52" s="14" t="str"/>
      <x:c r="L52" s="14" t="n">
        <x:v>94</x:v>
      </x:c>
      <x:c r="M52" s="14" t="n">
        <x:v>62</x:v>
      </x:c>
      <x:c r="N52" s="14" t="n">
        <x:v>5</x:v>
      </x:c>
      <x:c r="O52" s="14" t="n">
        <x:f>ROUND(L52*0.5+M52*0.3+(N52/5*100)*0.2,0)</x:f>
        <x:v>86</x:v>
      </x:c>
      <x:c r="P52" s="14" t="str">
        <x:f>IF(N52&lt;=2,"VERIFY",IF(AND(O52&gt;=82,N52&gt;=4),"E-A",IF(O52&gt;=74,"E-B","E-C")))</x:f>
        <x:v>E-A</x:v>
      </x:c>
      <x:c r="Q52" s="14" t="str">
        <x:v>기존 v2 제외 확인</x:v>
      </x:c>
      <x:c r="R52" s="14" t="str">
        <x:v>공식사이트 확인</x:v>
      </x:c>
      <x:c r="S52" s="14" t="str">
        <x:v>전원주택 모듈풀 패키지</x:v>
      </x:c>
      <x:c r="T52" s="14" t="str">
        <x:v>표준가격·전국시공</x:v>
      </x:c>
      <x:c r="U52" s="14" t="str">
        <x:v>2026-08-13</x:v>
      </x:c>
    </x:row>
    <x:row r="53" ht="46" customHeight="1">
      <x:c r="A53" s="14" t="str">
        <x:v>EXP-052</x:v>
      </x:c>
      <x:c r="B53" s="14" t="str">
        <x:v>S06</x:v>
      </x:c>
      <x:c r="C53" s="14" t="str">
        <x:v>WATER</x:v>
      </x:c>
      <x:c r="D53" s="14" t="str">
        <x:v>수영장·스파·사우나 수처리</x:v>
      </x:c>
      <x:c r="E53" s="14" t="str">
        <x:v>신화아쿠아</x:v>
      </x:c>
      <x:c r="F53" s="14" t="str">
        <x:v>설계·시공</x:v>
      </x:c>
      <x:c r="G53" s="14" t="str">
        <x:v>https://www.swaqua.com/kr/company/summary.php</x:v>
      </x:c>
      <x:c r="H53" s="14" t="str">
        <x:v>공식</x:v>
      </x:c>
      <x:c r="I53" s="14" t="str">
        <x:v>수영장/워터파크/스파/사우나 수처리 설계시공</x:v>
      </x:c>
      <x:c r="J53" s="14" t="str"/>
      <x:c r="K53" s="14" t="str"/>
      <x:c r="L53" s="14" t="n">
        <x:v>96</x:v>
      </x:c>
      <x:c r="M53" s="14" t="n">
        <x:v>55</x:v>
      </x:c>
      <x:c r="N53" s="14" t="n">
        <x:v>5</x:v>
      </x:c>
      <x:c r="O53" s="14" t="n">
        <x:f>ROUND(L53*0.5+M53*0.3+(N53/5*100)*0.2,0)</x:f>
        <x:v>85</x:v>
      </x:c>
      <x:c r="P53" s="14" t="str">
        <x:f>IF(N53&lt;=2,"VERIFY",IF(AND(O53&gt;=82,N53&gt;=4),"E-A",IF(O53&gt;=74,"E-B","E-C")))</x:f>
        <x:v>E-A</x:v>
      </x:c>
      <x:c r="Q53" s="14" t="str">
        <x:v>기존 v2 제외 확인</x:v>
      </x:c>
      <x:c r="R53" s="14" t="str">
        <x:v>공식사이트 확인</x:v>
      </x:c>
      <x:c r="S53" s="14" t="str">
        <x:v>수영장+웰니스 통합 프로젝트 파트너</x:v>
      </x:c>
      <x:c r="T53" s="14" t="str">
        <x:v>소형주택 적용/견적</x:v>
      </x:c>
      <x:c r="U53" s="14" t="str">
        <x:v>2026-08-13</x:v>
      </x:c>
    </x:row>
    <x:row r="54" ht="46" customHeight="1">
      <x:c r="A54" s="14" t="str">
        <x:v>EXP-053</x:v>
      </x:c>
      <x:c r="B54" s="14" t="str">
        <x:v>S06</x:v>
      </x:c>
      <x:c r="C54" s="14" t="str">
        <x:v>WATER</x:v>
      </x:c>
      <x:c r="D54" s="14" t="str">
        <x:v>수영장 수처리·스파·사우나</x:v>
      </x:c>
      <x:c r="E54" s="14" t="str">
        <x:v>극동무공</x:v>
      </x:c>
      <x:c r="F54" s="14" t="str">
        <x:v>제조·수입·시공</x:v>
      </x:c>
      <x:c r="G54" s="14" t="str">
        <x:v>https://kdsauna.com/</x:v>
      </x:c>
      <x:c r="H54" s="14" t="str">
        <x:v>공식</x:v>
      </x:c>
      <x:c r="I54" s="14" t="str">
        <x:v>수영장 수처리/스파/사우나 장비 및 사업</x:v>
      </x:c>
      <x:c r="J54" s="14" t="str"/>
      <x:c r="K54" s="14" t="str"/>
      <x:c r="L54" s="14" t="n">
        <x:v>95</x:v>
      </x:c>
      <x:c r="M54" s="14" t="n">
        <x:v>66</x:v>
      </x:c>
      <x:c r="N54" s="14" t="n">
        <x:v>5</x:v>
      </x:c>
      <x:c r="O54" s="14" t="n">
        <x:f>ROUND(L54*0.5+M54*0.3+(N54/5*100)*0.2,0)</x:f>
        <x:v>87</x:v>
      </x:c>
      <x:c r="P54" s="14" t="str">
        <x:f>IF(N54&lt;=2,"VERIFY",IF(AND(O54&gt;=82,N54&gt;=4),"E-A",IF(O54&gt;=74,"E-B","E-C")))</x:f>
        <x:v>E-A</x:v>
      </x:c>
      <x:c r="Q54" s="14" t="str">
        <x:v>기존 v2 제외 확인</x:v>
      </x:c>
      <x:c r="R54" s="14" t="str">
        <x:v>공식사이트 확인</x:v>
      </x:c>
      <x:c r="S54" s="14" t="str">
        <x:v>장비+시공 통합 공급</x:v>
      </x:c>
      <x:c r="T54" s="14" t="str">
        <x:v>가정용 장비/도매</x:v>
      </x:c>
      <x:c r="U54" s="14" t="str">
        <x:v>2026-08-13</x:v>
      </x:c>
    </x:row>
    <x:row r="55" ht="46" customHeight="1">
      <x:c r="A55" s="14" t="str">
        <x:v>EXP-054</x:v>
      </x:c>
      <x:c r="B55" s="14" t="str">
        <x:v>S06</x:v>
      </x:c>
      <x:c r="C55" s="14" t="str">
        <x:v>WATER</x:v>
      </x:c>
      <x:c r="D55" s="14" t="str">
        <x:v>수영장·스파·사우나 장비</x:v>
      </x:c>
      <x:c r="E55" s="14" t="str">
        <x:v>SPA International</x:v>
      </x:c>
      <x:c r="F55" s="14" t="str">
        <x:v>수입·유통·시공</x:v>
      </x:c>
      <x:c r="G55" s="14" t="str">
        <x:v>https://sspa.co.kr/corporation-info/</x:v>
      </x:c>
      <x:c r="H55" s="14" t="str">
        <x:v>공식</x:v>
      </x:c>
      <x:c r="I55" s="14" t="str">
        <x:v>풀/스파/인클로저/사우나 장비 원스톱 사업</x:v>
      </x:c>
      <x:c r="J55" s="14" t="str"/>
      <x:c r="K55" s="14" t="str"/>
      <x:c r="L55" s="14" t="n">
        <x:v>93</x:v>
      </x:c>
      <x:c r="M55" s="14" t="n">
        <x:v>58</x:v>
      </x:c>
      <x:c r="N55" s="14" t="n">
        <x:v>5</x:v>
      </x:c>
      <x:c r="O55" s="14" t="n">
        <x:f>ROUND(L55*0.5+M55*0.3+(N55/5*100)*0.2,0)</x:f>
        <x:v>84</x:v>
      </x:c>
      <x:c r="P55" s="14" t="str">
        <x:f>IF(N55&lt;=2,"VERIFY",IF(AND(O55&gt;=82,N55&gt;=4),"E-A",IF(O55&gt;=74,"E-B","E-C")))</x:f>
        <x:v>E-A</x:v>
      </x:c>
      <x:c r="Q55" s="14" t="str">
        <x:v>기존 v2 제외 확인</x:v>
      </x:c>
      <x:c r="R55" s="14" t="str">
        <x:v>공식사이트 확인</x:v>
      </x:c>
      <x:c r="S55" s="14" t="str">
        <x:v>프리미엄 웰니스 상품 공급</x:v>
      </x:c>
      <x:c r="T55" s="14" t="str">
        <x:v>딜러/도매정책</x:v>
      </x:c>
      <x:c r="U55" s="14" t="str">
        <x:v>2026-08-13</x:v>
      </x:c>
    </x:row>
    <x:row r="56" ht="46" customHeight="1">
      <x:c r="A56" s="14" t="str">
        <x:v>EXP-055</x:v>
      </x:c>
      <x:c r="B56" s="14" t="str">
        <x:v>S06</x:v>
      </x:c>
      <x:c r="C56" s="14" t="str">
        <x:v>WATER</x:v>
      </x:c>
      <x:c r="D56" s="14" t="str">
        <x:v>수처리·개인주택 수영장</x:v>
      </x:c>
      <x:c r="E56" s="14" t="str">
        <x:v>네오워터</x:v>
      </x:c>
      <x:c r="F56" s="14" t="str">
        <x:v>수처리·설비</x:v>
      </x:c>
      <x:c r="G56" s="14" t="str">
        <x:v>https://www.neowater.co.kr/27</x:v>
      </x:c>
      <x:c r="H56" s="14" t="str">
        <x:v>공식</x:v>
      </x:c>
      <x:c r="I56" s="14" t="str">
        <x:v>수처리 및 주택/시설 적용 시스템</x:v>
      </x:c>
      <x:c r="J56" s="14" t="str"/>
      <x:c r="K56" s="14" t="str"/>
      <x:c r="L56" s="14" t="n">
        <x:v>90</x:v>
      </x:c>
      <x:c r="M56" s="14" t="n">
        <x:v>72</x:v>
      </x:c>
      <x:c r="N56" s="14" t="n">
        <x:v>4</x:v>
      </x:c>
      <x:c r="O56" s="14" t="n">
        <x:f>ROUND(L56*0.5+M56*0.3+(N56/5*100)*0.2,0)</x:f>
        <x:v>83</x:v>
      </x:c>
      <x:c r="P56" s="14" t="str">
        <x:f>IF(N56&lt;=2,"VERIFY",IF(AND(O56&gt;=82,N56&gt;=4),"E-A",IF(O56&gt;=74,"E-B","E-C")))</x:f>
        <x:v>E-A</x:v>
      </x:c>
      <x:c r="Q56" s="14" t="str">
        <x:v>기존 v2 제외 확인</x:v>
      </x:c>
      <x:c r="R56" s="14" t="str">
        <x:v>공식사이트 확인</x:v>
      </x:c>
      <x:c r="S56" s="14" t="str">
        <x:v>소형 수처리/풀 관리 패키지</x:v>
      </x:c>
      <x:c r="T56" s="14" t="str">
        <x:v>제품·시공지역</x:v>
      </x:c>
      <x:c r="U56" s="14" t="str">
        <x:v>2026-08-13</x:v>
      </x:c>
    </x:row>
    <x:row r="57" ht="46" customHeight="1">
      <x:c r="A57" s="14" t="str">
        <x:v>EXP-056</x:v>
      </x:c>
      <x:c r="B57" s="14" t="str">
        <x:v>S06</x:v>
      </x:c>
      <x:c r="C57" s="14" t="str">
        <x:v>WATER</x:v>
      </x:c>
      <x:c r="D57" s="14" t="str">
        <x:v>수영장 설비·시공</x:v>
      </x:c>
      <x:c r="E57" s="14" t="str">
        <x:v>범우티엔씨</x:v>
      </x:c>
      <x:c r="F57" s="14" t="str">
        <x:v>전문시공</x:v>
      </x:c>
      <x:c r="G57" s="14" t="str">
        <x:v>https://www.ebumwoo.co.kr/</x:v>
      </x:c>
      <x:c r="H57" s="14" t="str">
        <x:v>공식</x:v>
      </x:c>
      <x:c r="I57" s="14" t="str">
        <x:v>장기간 수영장/관련 시설 전문업체</x:v>
      </x:c>
      <x:c r="J57" s="14" t="str"/>
      <x:c r="K57" s="14" t="str"/>
      <x:c r="L57" s="14" t="n">
        <x:v>95</x:v>
      </x:c>
      <x:c r="M57" s="14" t="n">
        <x:v>64</x:v>
      </x:c>
      <x:c r="N57" s="14" t="n">
        <x:v>5</x:v>
      </x:c>
      <x:c r="O57" s="14" t="n">
        <x:f>ROUND(L57*0.5+M57*0.3+(N57/5*100)*0.2,0)</x:f>
        <x:v>87</x:v>
      </x:c>
      <x:c r="P57" s="14" t="str">
        <x:f>IF(N57&lt;=2,"VERIFY",IF(AND(O57&gt;=82,N57&gt;=4),"E-A",IF(O57&gt;=74,"E-B","E-C")))</x:f>
        <x:v>E-A</x:v>
      </x:c>
      <x:c r="Q57" s="14" t="str">
        <x:v>기존 v2 제외 확인</x:v>
      </x:c>
      <x:c r="R57" s="14" t="str">
        <x:v>공식사이트 확인</x:v>
      </x:c>
      <x:c r="S57" s="14" t="str">
        <x:v>전원주택 수영장 견적리드</x:v>
      </x:c>
      <x:c r="T57" s="14" t="str">
        <x:v>소형 프로젝트 최소규모</x:v>
      </x:c>
      <x:c r="U57" s="14" t="str">
        <x:v>2026-08-13</x:v>
      </x:c>
    </x:row>
    <x:row r="58" ht="46" customHeight="1">
      <x:c r="A58" s="14" t="str">
        <x:v>EXP-057</x:v>
      </x:c>
      <x:c r="B58" s="14" t="str">
        <x:v>S06</x:v>
      </x:c>
      <x:c r="C58" s="14" t="str">
        <x:v>WATER</x:v>
      </x:c>
      <x:c r="D58" s="14" t="str">
        <x:v>이동식·프레임 수영장·부품</x:v>
      </x:c>
      <x:c r="E58" s="14" t="str">
        <x:v>지오풀</x:v>
      </x:c>
      <x:c r="F58" s="14" t="str">
        <x:v>시공·유통</x:v>
      </x:c>
      <x:c r="G58" s="14" t="str">
        <x:v>https://ziopool.cafe24.com/</x:v>
      </x:c>
      <x:c r="H58" s="14" t="str">
        <x:v>공식</x:v>
      </x:c>
      <x:c r="I58" s="14" t="str">
        <x:v>이동식/프레임 수영장 및 여과부품/시공</x:v>
      </x:c>
      <x:c r="J58" s="14" t="str"/>
      <x:c r="K58" s="14" t="str"/>
      <x:c r="L58" s="14" t="n">
        <x:v>89</x:v>
      </x:c>
      <x:c r="M58" s="14" t="n">
        <x:v>76</x:v>
      </x:c>
      <x:c r="N58" s="14" t="n">
        <x:v>4</x:v>
      </x:c>
      <x:c r="O58" s="14" t="n">
        <x:f>ROUND(L58*0.5+M58*0.3+(N58/5*100)*0.2,0)</x:f>
        <x:v>83</x:v>
      </x:c>
      <x:c r="P58" s="14" t="str">
        <x:f>IF(N58&lt;=2,"VERIFY",IF(AND(O58&gt;=82,N58&gt;=4),"E-A",IF(O58&gt;=74,"E-B","E-C")))</x:f>
        <x:v>E-A</x:v>
      </x:c>
      <x:c r="Q58" s="14" t="str">
        <x:v>기존 v2 제외 확인</x:v>
      </x:c>
      <x:c r="R58" s="14" t="str">
        <x:v>공식사이트 확인</x:v>
      </x:c>
      <x:c r="S58" s="14" t="str">
        <x:v>중저가 풀+유지부품 SHOP 구성</x:v>
      </x:c>
      <x:c r="T58" s="14" t="str">
        <x:v>도매/직배송</x:v>
      </x:c>
      <x:c r="U58" s="14" t="str">
        <x:v>2026-08-13</x:v>
      </x:c>
    </x:row>
    <x:row r="59" ht="46" customHeight="1">
      <x:c r="A59" s="14" t="str">
        <x:v>EXP-058</x:v>
      </x:c>
      <x:c r="B59" s="14" t="str">
        <x:v>S06</x:v>
      </x:c>
      <x:c r="C59" s="14" t="str">
        <x:v>WATER</x:v>
      </x:c>
      <x:c r="D59" s="14" t="str">
        <x:v>수영장·사우나·수처리</x:v>
      </x:c>
      <x:c r="E59" s="14" t="str">
        <x:v>리안아쿠아</x:v>
      </x:c>
      <x:c r="F59" s="14" t="str">
        <x:v>설계·시공</x:v>
      </x:c>
      <x:c r="G59" s="14" t="str">
        <x:v>https://rianaqua.itpage.kr/</x:v>
      </x:c>
      <x:c r="H59" s="14" t="str">
        <x:v>공식</x:v>
      </x:c>
      <x:c r="I59" s="14" t="str">
        <x:v>수영장/사우나/수처리 설계·시공형 업체</x:v>
      </x:c>
      <x:c r="J59" s="14" t="str"/>
      <x:c r="K59" s="14" t="str"/>
      <x:c r="L59" s="14" t="n">
        <x:v>91</x:v>
      </x:c>
      <x:c r="M59" s="14" t="n">
        <x:v>82</x:v>
      </x:c>
      <x:c r="N59" s="14" t="n">
        <x:v>4</x:v>
      </x:c>
      <x:c r="O59" s="14" t="n">
        <x:f>ROUND(L59*0.5+M59*0.3+(N59/5*100)*0.2,0)</x:f>
        <x:v>86</x:v>
      </x:c>
      <x:c r="P59" s="14" t="str">
        <x:f>IF(N59&lt;=2,"VERIFY",IF(AND(O59&gt;=82,N59&gt;=4),"E-A",IF(O59&gt;=74,"E-B","E-C")))</x:f>
        <x:v>E-A</x:v>
      </x:c>
      <x:c r="Q59" s="14" t="str">
        <x:v>기존 v2 제외 확인</x:v>
      </x:c>
      <x:c r="R59" s="14" t="str">
        <x:v>공식사이트 확인</x:v>
      </x:c>
      <x:c r="S59" s="14" t="str">
        <x:v>AEO 공백형 시공 파트너</x:v>
      </x:c>
      <x:c r="T59" s="14" t="str">
        <x:v>지역·주택공사 사례</x:v>
      </x:c>
      <x:c r="U59" s="14" t="str">
        <x:v>2026-08-13</x:v>
      </x:c>
    </x:row>
    <x:row r="60" ht="46" customHeight="1">
      <x:c r="A60" s="14" t="str">
        <x:v>EXP-059</x:v>
      </x:c>
      <x:c r="B60" s="14" t="str">
        <x:v>S06</x:v>
      </x:c>
      <x:c r="C60" s="14" t="str">
        <x:v>WATER</x:v>
      </x:c>
      <x:c r="D60" s="14" t="str">
        <x:v>수영장·워터파크·사우나 수처리</x:v>
      </x:c>
      <x:c r="E60" s="14" t="str">
        <x:v>테라피아엔지</x:v>
      </x:c>
      <x:c r="F60" s="14" t="str">
        <x:v>설비·엔지니어링</x:v>
      </x:c>
      <x:c r="G60" s="14" t="str">
        <x:v>https://therapiaeng.com/sub/sub2_3.php</x:v>
      </x:c>
      <x:c r="H60" s="14" t="str">
        <x:v>공식</x:v>
      </x:c>
      <x:c r="I60" s="14" t="str">
        <x:v>수영장/워터파크/사우나 수처리 장비</x:v>
      </x:c>
      <x:c r="J60" s="14" t="str"/>
      <x:c r="K60" s="14" t="str"/>
      <x:c r="L60" s="14" t="n">
        <x:v>94</x:v>
      </x:c>
      <x:c r="M60" s="14" t="n">
        <x:v>80</x:v>
      </x:c>
      <x:c r="N60" s="14" t="n">
        <x:v>4</x:v>
      </x:c>
      <x:c r="O60" s="14" t="n">
        <x:f>ROUND(L60*0.5+M60*0.3+(N60/5*100)*0.2,0)</x:f>
        <x:v>87</x:v>
      </x:c>
      <x:c r="P60" s="14" t="str">
        <x:f>IF(N60&lt;=2,"VERIFY",IF(AND(O60&gt;=82,N60&gt;=4),"E-A",IF(O60&gt;=74,"E-B","E-C")))</x:f>
        <x:v>E-A</x:v>
      </x:c>
      <x:c r="Q60" s="14" t="str">
        <x:v>기존 v2 제외 확인</x:v>
      </x:c>
      <x:c r="R60" s="14" t="str">
        <x:v>공식사이트 확인</x:v>
      </x:c>
      <x:c r="S60" s="14" t="str">
        <x:v>설비 공급 및 유지관리 상품화</x:v>
      </x:c>
      <x:c r="T60" s="14" t="str">
        <x:v>소형장비/도매</x:v>
      </x:c>
      <x:c r="U60" s="14" t="str">
        <x:v>2026-08-13</x:v>
      </x:c>
    </x:row>
    <x:row r="61" ht="46" customHeight="1">
      <x:c r="A61" s="14" t="str">
        <x:v>EXP-060</x:v>
      </x:c>
      <x:c r="B61" s="14" t="str">
        <x:v>S06</x:v>
      </x:c>
      <x:c r="C61" s="14" t="str">
        <x:v>WATER</x:v>
      </x:c>
      <x:c r="D61" s="14" t="str">
        <x:v>수영장 여과·수처리 설비</x:v>
      </x:c>
      <x:c r="E61" s="14" t="str">
        <x:v>주식회사 와이케이</x:v>
      </x:c>
      <x:c r="F61" s="14" t="str">
        <x:v>설비·제조</x:v>
      </x:c>
      <x:c r="G61" s="14" t="str">
        <x:v>https://esgeng.co.kr/?page_id=1141</x:v>
      </x:c>
      <x:c r="H61" s="14" t="str">
        <x:v>공식</x:v>
      </x:c>
      <x:c r="I61" s="14" t="str">
        <x:v>수영장 여과/전처리 설비 제품</x:v>
      </x:c>
      <x:c r="J61" s="14" t="str"/>
      <x:c r="K61" s="14" t="str"/>
      <x:c r="L61" s="14" t="n">
        <x:v>92</x:v>
      </x:c>
      <x:c r="M61" s="14" t="n">
        <x:v>78</x:v>
      </x:c>
      <x:c r="N61" s="14" t="n">
        <x:v>4</x:v>
      </x:c>
      <x:c r="O61" s="14" t="n">
        <x:f>ROUND(L61*0.5+M61*0.3+(N61/5*100)*0.2,0)</x:f>
        <x:v>85</x:v>
      </x:c>
      <x:c r="P61" s="14" t="str">
        <x:f>IF(N61&lt;=2,"VERIFY",IF(AND(O61&gt;=82,N61&gt;=4),"E-A",IF(O61&gt;=74,"E-B","E-C")))</x:f>
        <x:v>E-A</x:v>
      </x:c>
      <x:c r="Q61" s="14" t="str">
        <x:v>기존 v2 제외 확인</x:v>
      </x:c>
      <x:c r="R61" s="14" t="str">
        <x:v>공식제품 확인</x:v>
      </x:c>
      <x:c r="S61" s="14" t="str">
        <x:v>수영장 설비 부품 공급사</x:v>
      </x:c>
      <x:c r="T61" s="14" t="str">
        <x:v>제품별 유통/AS</x:v>
      </x:c>
      <x:c r="U61" s="14" t="str">
        <x:v>2026-08-13</x:v>
      </x:c>
    </x:row>
    <x:row r="62" ht="46" customHeight="1">
      <x:c r="A62" s="14" t="str">
        <x:v>EXP-061</x:v>
      </x:c>
      <x:c r="B62" s="14" t="str">
        <x:v>S07</x:v>
      </x:c>
      <x:c r="C62" s="14" t="str">
        <x:v>GARDEN</x:v>
      </x:c>
      <x:c r="D62" s="14" t="str">
        <x:v>인조잔디</x:v>
      </x:c>
      <x:c r="E62" s="14" t="str">
        <x:v>주목씨지알</x:v>
      </x:c>
      <x:c r="F62" s="14" t="str">
        <x:v>직접제조·시공</x:v>
      </x:c>
      <x:c r="G62" s="14" t="str">
        <x:v>https://jmcgr.co.kr/84</x:v>
      </x:c>
      <x:c r="H62" s="14" t="str">
        <x:v>공식</x:v>
      </x:c>
      <x:c r="I62" s="14" t="str">
        <x:v>인조잔디 직접 제조/시공형 제품군</x:v>
      </x:c>
      <x:c r="J62" s="14" t="str"/>
      <x:c r="K62" s="14" t="str"/>
      <x:c r="L62" s="14" t="n">
        <x:v>97</x:v>
      </x:c>
      <x:c r="M62" s="14" t="n">
        <x:v>52</x:v>
      </x:c>
      <x:c r="N62" s="14" t="n">
        <x:v>5</x:v>
      </x:c>
      <x:c r="O62" s="14" t="n">
        <x:f>ROUND(L62*0.5+M62*0.3+(N62/5*100)*0.2,0)</x:f>
        <x:v>84</x:v>
      </x:c>
      <x:c r="P62" s="14" t="str">
        <x:f>IF(N62&lt;=2,"VERIFY",IF(AND(O62&gt;=82,N62&gt;=4),"E-A",IF(O62&gt;=74,"E-B","E-C")))</x:f>
        <x:v>E-A</x:v>
      </x:c>
      <x:c r="Q62" s="14" t="str">
        <x:v>기존 v2 제외 확인</x:v>
      </x:c>
      <x:c r="R62" s="14" t="str">
        <x:v>공식사이트 확인</x:v>
      </x:c>
      <x:c r="S62" s="14" t="str">
        <x:v>주택·펫용 잔디 SKU 공급</x:v>
      </x:c>
      <x:c r="T62" s="14" t="str">
        <x:v>B2B 공급가/시공지역</x:v>
      </x:c>
      <x:c r="U62" s="14" t="str">
        <x:v>2026-08-13</x:v>
      </x:c>
    </x:row>
    <x:row r="63" ht="46" customHeight="1">
      <x:c r="A63" s="14" t="str">
        <x:v>EXP-062</x:v>
      </x:c>
      <x:c r="B63" s="14" t="str">
        <x:v>S07</x:v>
      </x:c>
      <x:c r="C63" s="14" t="str">
        <x:v>GARDEN,SMART</x:v>
      </x:c>
      <x:c r="D63" s="14" t="str">
        <x:v>IoT 수목·관수</x:v>
      </x:c>
      <x:c r="E63" s="14" t="str">
        <x:v>(주)성하 / SignalTree</x:v>
      </x:c>
      <x:c r="F63" s="14" t="str">
        <x:v>IoT·시스템</x:v>
      </x:c>
      <x:c r="G63" s="14" t="str">
        <x:v>https://www.signaltree.kr/</x:v>
      </x:c>
      <x:c r="H63" s="14" t="str">
        <x:v>공식</x:v>
      </x:c>
      <x:c r="I63" s="14" t="str">
        <x:v>IoT 기반 수목/스마트 관수 솔루션</x:v>
      </x:c>
      <x:c r="J63" s="14" t="str"/>
      <x:c r="K63" s="14" t="str"/>
      <x:c r="L63" s="14" t="n">
        <x:v>93</x:v>
      </x:c>
      <x:c r="M63" s="14" t="n">
        <x:v>72</x:v>
      </x:c>
      <x:c r="N63" s="14" t="n">
        <x:v>5</x:v>
      </x:c>
      <x:c r="O63" s="14" t="n">
        <x:f>ROUND(L63*0.5+M63*0.3+(N63/5*100)*0.2,0)</x:f>
        <x:v>88</x:v>
      </x:c>
      <x:c r="P63" s="14" t="str">
        <x:f>IF(N63&lt;=2,"VERIFY",IF(AND(O63&gt;=82,N63&gt;=4),"E-A",IF(O63&gt;=74,"E-B","E-C")))</x:f>
        <x:v>E-A</x:v>
      </x:c>
      <x:c r="Q63" s="14" t="str">
        <x:v>기존 v2 제외 확인</x:v>
      </x:c>
      <x:c r="R63" s="14" t="str">
        <x:v>공식사이트 확인</x:v>
      </x:c>
      <x:c r="S63" s="14" t="str">
        <x:v>프리미엄 스마트정원 차별화 상품</x:v>
      </x:c>
      <x:c r="T63" s="14" t="str">
        <x:v>소형주택 제품화</x:v>
      </x:c>
      <x:c r="U63" s="14" t="str">
        <x:v>2026-08-13</x:v>
      </x:c>
    </x:row>
    <x:row r="64" ht="46" customHeight="1">
      <x:c r="A64" s="14" t="str">
        <x:v>EXP-063</x:v>
      </x:c>
      <x:c r="B64" s="14" t="str">
        <x:v>S07</x:v>
      </x:c>
      <x:c r="C64" s="14" t="str">
        <x:v>GARDEN</x:v>
      </x:c>
      <x:c r="D64" s="14" t="str">
        <x:v>관수·조경자재</x:v>
      </x:c>
      <x:c r="E64" s="14" t="str">
        <x:v>가든라이프</x:v>
      </x:c>
      <x:c r="F64" s="14" t="str">
        <x:v>전문유통·도매</x:v>
      </x:c>
      <x:c r="G64" s="14" t="str">
        <x:v>https://www.gardenlife.kr/service/company.php</x:v>
      </x:c>
      <x:c r="H64" s="14" t="str">
        <x:v>공식</x:v>
      </x:c>
      <x:c r="I64" s="14" t="str">
        <x:v>관수/조경용품 판매 및 대량/B2B 성격</x:v>
      </x:c>
      <x:c r="J64" s="14" t="str"/>
      <x:c r="K64" s="14" t="str"/>
      <x:c r="L64" s="14" t="n">
        <x:v>91</x:v>
      </x:c>
      <x:c r="M64" s="14" t="n">
        <x:v>60</x:v>
      </x:c>
      <x:c r="N64" s="14" t="n">
        <x:v>5</x:v>
      </x:c>
      <x:c r="O64" s="14" t="n">
        <x:f>ROUND(L64*0.5+M64*0.3+(N64/5*100)*0.2,0)</x:f>
        <x:v>84</x:v>
      </x:c>
      <x:c r="P64" s="14" t="str">
        <x:f>IF(N64&lt;=2,"VERIFY",IF(AND(O64&gt;=82,N64&gt;=4),"E-A",IF(O64&gt;=74,"E-B","E-C")))</x:f>
        <x:v>E-A</x:v>
      </x:c>
      <x:c r="Q64" s="14" t="str">
        <x:v>기존 v2 제외 확인</x:v>
      </x:c>
      <x:c r="R64" s="14" t="str">
        <x:v>공식사이트 확인</x:v>
      </x:c>
      <x:c r="S64" s="14" t="str">
        <x:v>정원관리 소모품 공급처</x:v>
      </x:c>
      <x:c r="T64" s="14" t="str">
        <x:v>도매가/직배송</x:v>
      </x:c>
      <x:c r="U64" s="14" t="str">
        <x:v>2026-08-13</x:v>
      </x:c>
    </x:row>
    <x:row r="65" ht="46" customHeight="1">
      <x:c r="A65" s="14" t="str">
        <x:v>EXP-064</x:v>
      </x:c>
      <x:c r="B65" s="14" t="str">
        <x:v>S07</x:v>
      </x:c>
      <x:c r="C65" s="14" t="str">
        <x:v>GARDEN</x:v>
      </x:c>
      <x:c r="D65" s="14" t="str">
        <x:v>농업·조경·정원자재</x:v>
      </x:c>
      <x:c r="E65" s="14" t="str">
        <x:v>(주)청인</x:v>
      </x:c>
      <x:c r="F65" s="14" t="str">
        <x:v>전문유통</x:v>
      </x:c>
      <x:c r="G65" s="14" t="str">
        <x:v>https://www.cheong-in.co.kr/</x:v>
      </x:c>
      <x:c r="H65" s="14" t="str">
        <x:v>공식</x:v>
      </x:c>
      <x:c r="I65" s="14" t="str">
        <x:v>농업/조경/정원 자재 전문 제품군</x:v>
      </x:c>
      <x:c r="J65" s="14" t="str"/>
      <x:c r="K65" s="14" t="str"/>
      <x:c r="L65" s="14" t="n">
        <x:v>90</x:v>
      </x:c>
      <x:c r="M65" s="14" t="n">
        <x:v>68</x:v>
      </x:c>
      <x:c r="N65" s="14" t="n">
        <x:v>4</x:v>
      </x:c>
      <x:c r="O65" s="14" t="n">
        <x:f>ROUND(L65*0.5+M65*0.3+(N65/5*100)*0.2,0)</x:f>
        <x:v>81</x:v>
      </x:c>
      <x:c r="P65" s="14" t="str">
        <x:f>IF(N65&lt;=2,"VERIFY",IF(AND(O65&gt;=82,N65&gt;=4),"E-A",IF(O65&gt;=74,"E-B","E-C")))</x:f>
        <x:v>E-B</x:v>
      </x:c>
      <x:c r="Q65" s="14" t="str">
        <x:v>기존 v2 제외 확인</x:v>
      </x:c>
      <x:c r="R65" s="14" t="str">
        <x:v>공식사이트 확인</x:v>
      </x:c>
      <x:c r="S65" s="14" t="str">
        <x:v>관수·정원자재 다품목 공급</x:v>
      </x:c>
      <x:c r="T65" s="14" t="str">
        <x:v>B2B 공급조건</x:v>
      </x:c>
      <x:c r="U65" s="14" t="str">
        <x:v>2026-08-13</x:v>
      </x:c>
    </x:row>
    <x:row r="66" ht="46" customHeight="1">
      <x:c r="A66" s="14" t="str">
        <x:v>EXP-065</x:v>
      </x:c>
      <x:c r="B66" s="14" t="str">
        <x:v>S07</x:v>
      </x:c>
      <x:c r="C66" s="14" t="str">
        <x:v>GARDEN</x:v>
      </x:c>
      <x:c r="D66" s="14" t="str">
        <x:v>조경·정원·관수자재</x:v>
      </x:c>
      <x:c r="E66" s="14" t="str">
        <x:v>미성종합자재</x:v>
      </x:c>
      <x:c r="F66" s="14" t="str">
        <x:v>전문유통</x:v>
      </x:c>
      <x:c r="G66" s="14" t="str">
        <x:v>https://emija.com/</x:v>
      </x:c>
      <x:c r="H66" s="14" t="str">
        <x:v>공식</x:v>
      </x:c>
      <x:c r="I66" s="14" t="str">
        <x:v>다수 조경/정원 제품 및 관수자재</x:v>
      </x:c>
      <x:c r="J66" s="14" t="str"/>
      <x:c r="K66" s="14" t="str"/>
      <x:c r="L66" s="14" t="n">
        <x:v>94</x:v>
      </x:c>
      <x:c r="M66" s="14" t="n">
        <x:v>50</x:v>
      </x:c>
      <x:c r="N66" s="14" t="n">
        <x:v>5</x:v>
      </x:c>
      <x:c r="O66" s="14" t="n">
        <x:f>ROUND(L66*0.5+M66*0.3+(N66/5*100)*0.2,0)</x:f>
        <x:v>82</x:v>
      </x:c>
      <x:c r="P66" s="14" t="str">
        <x:f>IF(N66&lt;=2,"VERIFY",IF(AND(O66&gt;=82,N66&gt;=4),"E-A",IF(O66&gt;=74,"E-B","E-C")))</x:f>
        <x:v>E-A</x:v>
      </x:c>
      <x:c r="Q66" s="14" t="str">
        <x:v>기존 v2 제외 확인</x:v>
      </x:c>
      <x:c r="R66" s="14" t="str">
        <x:v>공식사이트 확인</x:v>
      </x:c>
      <x:c r="S66" s="14" t="str">
        <x:v>SHOP형 다품목 핵심 공급처</x:v>
      </x:c>
      <x:c r="T66" s="14" t="str">
        <x:v>도매/직배송/API 여부</x:v>
      </x:c>
      <x:c r="U66" s="14" t="str">
        <x:v>2026-08-13</x:v>
      </x:c>
    </x:row>
    <x:row r="67" ht="46" customHeight="1">
      <x:c r="A67" s="14" t="str">
        <x:v>EXP-066</x:v>
      </x:c>
      <x:c r="B67" s="14" t="str">
        <x:v>S07</x:v>
      </x:c>
      <x:c r="C67" s="14" t="str">
        <x:v>GARDEN</x:v>
      </x:c>
      <x:c r="D67" s="14" t="str">
        <x:v>조경·정원자재</x:v>
      </x:c>
      <x:c r="E67" s="14" t="str">
        <x:v>계림조경자재</x:v>
      </x:c>
      <x:c r="F67" s="14" t="str">
        <x:v>개발·생산·판매</x:v>
      </x:c>
      <x:c r="G67" s="14" t="str">
        <x:v>https://ke-lim.com/bbs/content.php?co_id=company&amp;device=pc</x:v>
      </x:c>
      <x:c r="H67" s="14" t="str">
        <x:v>공식</x:v>
      </x:c>
      <x:c r="I67" s="14" t="str">
        <x:v>조경/정원자재 연구·생산·판매 성격</x:v>
      </x:c>
      <x:c r="J67" s="14" t="str"/>
      <x:c r="K67" s="14" t="str"/>
      <x:c r="L67" s="14" t="n">
        <x:v>94</x:v>
      </x:c>
      <x:c r="M67" s="14" t="n">
        <x:v>74</x:v>
      </x:c>
      <x:c r="N67" s="14" t="n">
        <x:v>5</x:v>
      </x:c>
      <x:c r="O67" s="14" t="n">
        <x:f>ROUND(L67*0.5+M67*0.3+(N67/5*100)*0.2,0)</x:f>
        <x:v>89</x:v>
      </x:c>
      <x:c r="P67" s="14" t="str">
        <x:f>IF(N67&lt;=2,"VERIFY",IF(AND(O67&gt;=82,N67&gt;=4),"E-A",IF(O67&gt;=74,"E-B","E-C")))</x:f>
        <x:v>E-A</x:v>
      </x:c>
      <x:c r="Q67" s="14" t="str">
        <x:v>기존 v2 제외 확인</x:v>
      </x:c>
      <x:c r="R67" s="14" t="str">
        <x:v>공식사이트 확인</x:v>
      </x:c>
      <x:c r="S67" s="14" t="str">
        <x:v>직접생산 자재 PB/OEM 가능성</x:v>
      </x:c>
      <x:c r="T67" s="14" t="str">
        <x:v>생산품목/MOQ</x:v>
      </x:c>
      <x:c r="U67" s="14" t="str">
        <x:v>2026-08-13</x:v>
      </x:c>
    </x:row>
    <x:row r="68" ht="46" customHeight="1">
      <x:c r="A68" s="14" t="str">
        <x:v>EXP-067</x:v>
      </x:c>
      <x:c r="B68" s="14" t="str">
        <x:v>S07</x:v>
      </x:c>
      <x:c r="C68" s="14" t="str">
        <x:v>GARDEN,SMART</x:v>
      </x:c>
      <x:c r="D68" s="14" t="str">
        <x:v>스마트 자동관수</x:v>
      </x:c>
      <x:c r="E68" s="14" t="str">
        <x:v>큐빅스(Qubics)</x:v>
      </x:c>
      <x:c r="F68" s="14" t="str">
        <x:v>IoT 솔루션</x:v>
      </x:c>
      <x:c r="G68" s="14" t="str">
        <x:v>https://www.qubics.kr/index.php/menu-iotsolution/auto-watering/</x:v>
      </x:c>
      <x:c r="H68" s="14" t="str">
        <x:v>공식</x:v>
      </x:c>
      <x:c r="I68" s="14" t="str">
        <x:v>IoT 자동관수 솔루션</x:v>
      </x:c>
      <x:c r="J68" s="14" t="str"/>
      <x:c r="K68" s="14" t="str"/>
      <x:c r="L68" s="14" t="n">
        <x:v>92</x:v>
      </x:c>
      <x:c r="M68" s="14" t="n">
        <x:v>72</x:v>
      </x:c>
      <x:c r="N68" s="14" t="n">
        <x:v>5</x:v>
      </x:c>
      <x:c r="O68" s="14" t="n">
        <x:f>ROUND(L68*0.5+M68*0.3+(N68/5*100)*0.2,0)</x:f>
        <x:v>88</x:v>
      </x:c>
      <x:c r="P68" s="14" t="str">
        <x:f>IF(N68&lt;=2,"VERIFY",IF(AND(O68&gt;=82,N68&gt;=4),"E-A",IF(O68&gt;=74,"E-B","E-C")))</x:f>
        <x:v>E-A</x:v>
      </x:c>
      <x:c r="Q68" s="14" t="str">
        <x:v>기존 v2 제외 확인</x:v>
      </x:c>
      <x:c r="R68" s="14" t="str">
        <x:v>공식사이트 확인</x:v>
      </x:c>
      <x:c r="S68" s="14" t="str">
        <x:v>RHINORY 스마트정원 패키지</x:v>
      </x:c>
      <x:c r="T68" s="14" t="str">
        <x:v>가정용 구축비/장비</x:v>
      </x:c>
      <x:c r="U68" s="14" t="str">
        <x:v>2026-08-13</x:v>
      </x:c>
    </x:row>
    <x:row r="69" ht="46" customHeight="1">
      <x:c r="A69" s="14" t="str">
        <x:v>EXP-068</x:v>
      </x:c>
      <x:c r="B69" s="14" t="str">
        <x:v>S07</x:v>
      </x:c>
      <x:c r="C69" s="14" t="str">
        <x:v>GARDEN</x:v>
      </x:c>
      <x:c r="D69" s="14" t="str">
        <x:v>관수부품·밸브·점적</x:v>
      </x:c>
      <x:c r="E69" s="14" t="str">
        <x:v>자재장터</x:v>
      </x:c>
      <x:c r="F69" s="14" t="str">
        <x:v>전문유통</x:v>
      </x:c>
      <x:c r="G69" s="14" t="str">
        <x:v>https://jajemart.com/</x:v>
      </x:c>
      <x:c r="H69" s="14" t="str">
        <x:v>공식</x:v>
      </x:c>
      <x:c r="I69" s="14" t="str">
        <x:v>관수 파이프/밸브/점적 구성품 판매</x:v>
      </x:c>
      <x:c r="J69" s="14" t="str"/>
      <x:c r="K69" s="14" t="str"/>
      <x:c r="L69" s="14" t="n">
        <x:v>87</x:v>
      </x:c>
      <x:c r="M69" s="14" t="n">
        <x:v>58</x:v>
      </x:c>
      <x:c r="N69" s="14" t="n">
        <x:v>4</x:v>
      </x:c>
      <x:c r="O69" s="14" t="n">
        <x:f>ROUND(L69*0.5+M69*0.3+(N69/5*100)*0.2,0)</x:f>
        <x:v>77</x:v>
      </x:c>
      <x:c r="P69" s="14" t="str">
        <x:f>IF(N69&lt;=2,"VERIFY",IF(AND(O69&gt;=82,N69&gt;=4),"E-A",IF(O69&gt;=74,"E-B","E-C")))</x:f>
        <x:v>E-B</x:v>
      </x:c>
      <x:c r="Q69" s="14" t="str">
        <x:v>기존 v2 제외 확인</x:v>
      </x:c>
      <x:c r="R69" s="14" t="str">
        <x:v>공식사이트 확인</x:v>
      </x:c>
      <x:c r="S69" s="14" t="str">
        <x:v>DIY 관수 키트 구성 공급</x:v>
      </x:c>
      <x:c r="T69" s="14" t="str">
        <x:v>도매가/대량배송</x:v>
      </x:c>
      <x:c r="U69" s="14" t="str">
        <x:v>2026-08-13</x:v>
      </x:c>
    </x:row>
    <x:row r="70" ht="46" customHeight="1">
      <x:c r="A70" s="14" t="str">
        <x:v>EXP-069</x:v>
      </x:c>
      <x:c r="B70" s="14" t="str">
        <x:v>S07</x:v>
      </x:c>
      <x:c r="C70" s="14" t="str">
        <x:v>GARDEN</x:v>
      </x:c>
      <x:c r="D70" s="14" t="str">
        <x:v>PE 관수관·농자재</x:v>
      </x:c>
      <x:c r="E70" s="14" t="str">
        <x:v>(주)한솔농자재철강</x:v>
      </x:c>
      <x:c r="F70" s="14" t="str">
        <x:v>제조·유통 후보</x:v>
      </x:c>
      <x:c r="G70" s="14" t="str">
        <x:v>https://m.gmarket.co.kr/n/list?category=300021310</x:v>
      </x:c>
      <x:c r="H70" s="14" t="str">
        <x:v>마켓플랫폼</x:v>
      </x:c>
      <x:c r="I70" s="14" t="str">
        <x:v>국내 생산 PE 관수관 제품군 확인</x:v>
      </x:c>
      <x:c r="J70" s="14" t="str"/>
      <x:c r="K70" s="14" t="str"/>
      <x:c r="L70" s="14" t="n">
        <x:v>84</x:v>
      </x:c>
      <x:c r="M70" s="14" t="n">
        <x:v>88</x:v>
      </x:c>
      <x:c r="N70" s="14" t="n">
        <x:v>3</x:v>
      </x:c>
      <x:c r="O70" s="14" t="n">
        <x:f>ROUND(L70*0.5+M70*0.3+(N70/5*100)*0.2,0)</x:f>
        <x:v>80</x:v>
      </x:c>
      <x:c r="P70" s="14" t="str">
        <x:f>IF(N70&lt;=2,"VERIFY",IF(AND(O70&gt;=82,N70&gt;=4),"E-A",IF(O70&gt;=74,"E-B","E-C")))</x:f>
        <x:v>E-B</x:v>
      </x:c>
      <x:c r="Q70" s="14" t="str">
        <x:v>기존 v2 제외 확인</x:v>
      </x:c>
      <x:c r="R70" s="14" t="str">
        <x:v>2차자료 확인</x:v>
      </x:c>
      <x:c r="S70" s="14" t="str">
        <x:v>제조형 저가 관수자재 공급 후보</x:v>
      </x:c>
      <x:c r="T70" s="14" t="str">
        <x:v>공식사이트/연락처/도매</x:v>
      </x:c>
      <x:c r="U70" s="14" t="str">
        <x:v>2026-08-13</x:v>
      </x:c>
    </x:row>
    <x:row r="71" ht="46" customHeight="1">
      <x:c r="A71" s="14" t="str">
        <x:v>EXP-070</x:v>
      </x:c>
      <x:c r="B71" s="14" t="str">
        <x:v>S07</x:v>
      </x:c>
      <x:c r="C71" s="14" t="str">
        <x:v>GARDEN</x:v>
      </x:c>
      <x:c r="D71" s="14" t="str">
        <x:v>관수자재·스프링클러·타이머</x:v>
      </x:c>
      <x:c r="E71" s="14" t="str">
        <x:v>가든툴</x:v>
      </x:c>
      <x:c r="F71" s="14" t="str">
        <x:v>전문유통</x:v>
      </x:c>
      <x:c r="G71" s="14" t="str">
        <x:v>https://gardentool.co.kr/category/%EA%B4%80%EC%88%98%EC%9E%90%EC%9E%AC/44/</x:v>
      </x:c>
      <x:c r="H71" s="14" t="str">
        <x:v>공식</x:v>
      </x:c>
      <x:c r="I71" s="14" t="str">
        <x:v>관수자재·센서·타이머·점적·스프링클러 다품목</x:v>
      </x:c>
      <x:c r="J71" s="14" t="str"/>
      <x:c r="K71" s="14" t="str"/>
      <x:c r="L71" s="14" t="n">
        <x:v>90</x:v>
      </x:c>
      <x:c r="M71" s="14" t="n">
        <x:v>50</x:v>
      </x:c>
      <x:c r="N71" s="14" t="n">
        <x:v>5</x:v>
      </x:c>
      <x:c r="O71" s="14" t="n">
        <x:f>ROUND(L71*0.5+M71*0.3+(N71/5*100)*0.2,0)</x:f>
        <x:v>80</x:v>
      </x:c>
      <x:c r="P71" s="14" t="str">
        <x:f>IF(N71&lt;=2,"VERIFY",IF(AND(O71&gt;=82,N71&gt;=4),"E-A",IF(O71&gt;=74,"E-B","E-C")))</x:f>
        <x:v>E-B</x:v>
      </x:c>
      <x:c r="Q71" s="14" t="str">
        <x:v>기존 v2 제외 확인</x:v>
      </x:c>
      <x:c r="R71" s="14" t="str">
        <x:v>공식사이트 확인</x:v>
      </x:c>
      <x:c r="S71" s="14" t="str">
        <x:v>DIY 정원관리 SKU 공급</x:v>
      </x:c>
      <x:c r="T71" s="14" t="str">
        <x:v>도매/위탁판매</x:v>
      </x:c>
      <x:c r="U71" s="14" t="str">
        <x:v>2026-08-13</x:v>
      </x:c>
    </x:row>
    <x:row r="72" ht="46" customHeight="1">
      <x:c r="A72" s="14" t="str">
        <x:v>EXP-071</x:v>
      </x:c>
      <x:c r="B72" s="14" t="str">
        <x:v>S08</x:v>
      </x:c>
      <x:c r="C72" s="14" t="str">
        <x:v>MAINTENANCE</x:v>
      </x:c>
      <x:c r="D72" s="14" t="str">
        <x:v>스팀세척기</x:v>
      </x:c>
      <x:c r="E72" s="14" t="str">
        <x:v>에스제이이(주) / 성진옵티마</x:v>
      </x:c>
      <x:c r="F72" s="14" t="str">
        <x:v>국내제조</x:v>
      </x:c>
      <x:c r="G72" s="14" t="str">
        <x:v>https://www.sjecorp.co.kr/</x:v>
      </x:c>
      <x:c r="H72" s="14" t="str">
        <x:v>공식</x:v>
      </x:c>
      <x:c r="I72" s="14" t="str">
        <x:v>국내 산업용 스팀세척 장비 제조</x:v>
      </x:c>
      <x:c r="J72" s="14" t="str">
        <x:v>051-521-3200</x:v>
      </x:c>
      <x:c r="K72" s="14" t="str">
        <x:v>info@sjecorp.com</x:v>
      </x:c>
      <x:c r="L72" s="14" t="n">
        <x:v>97</x:v>
      </x:c>
      <x:c r="M72" s="14" t="n">
        <x:v>50</x:v>
      </x:c>
      <x:c r="N72" s="14" t="n">
        <x:v>5</x:v>
      </x:c>
      <x:c r="O72" s="14" t="n">
        <x:f>ROUND(L72*0.5+M72*0.3+(N72/5*100)*0.2,0)</x:f>
        <x:v>84</x:v>
      </x:c>
      <x:c r="P72" s="14" t="str">
        <x:f>IF(N72&lt;=2,"VERIFY",IF(AND(O72&gt;=82,N72&gt;=4),"E-A",IF(O72&gt;=74,"E-B","E-C")))</x:f>
        <x:v>E-A</x:v>
      </x:c>
      <x:c r="Q72" s="14" t="str">
        <x:v>기존 v2 제외 확인</x:v>
      </x:c>
      <x:c r="R72" s="14" t="str">
        <x:v>공식 연락처 확인</x:v>
      </x:c>
      <x:c r="S72" s="14" t="str">
        <x:v>프리미엄 주택 외부관리 장비 공급</x:v>
      </x:c>
      <x:c r="T72" s="14" t="str">
        <x:v>가정용/소형 SKU·도매</x:v>
      </x:c>
      <x:c r="U72" s="14" t="str">
        <x:v>2026-08-13</x:v>
      </x:c>
    </x:row>
    <x:row r="73" ht="46" customHeight="1">
      <x:c r="A73" s="14" t="str">
        <x:v>EXP-072</x:v>
      </x:c>
      <x:c r="B73" s="14" t="str">
        <x:v>S08</x:v>
      </x:c>
      <x:c r="C73" s="14" t="str">
        <x:v>MAINTENANCE</x:v>
      </x:c>
      <x:c r="D73" s="14" t="str">
        <x:v>산업용 스팀청소장비</x:v>
      </x:c>
      <x:c r="E73" s="14" t="str">
        <x:v>스팀지니</x:v>
      </x:c>
      <x:c r="F73" s="14" t="str">
        <x:v>장비 전문</x:v>
      </x:c>
      <x:c r="G73" s="14" t="str">
        <x:v>https://steamgenie.co.kr/</x:v>
      </x:c>
      <x:c r="H73" s="14" t="str">
        <x:v>공식</x:v>
      </x:c>
      <x:c r="I73" s="14" t="str">
        <x:v>스팀 청소/세척 장비 전문 제품군</x:v>
      </x:c>
      <x:c r="J73" s="14" t="str"/>
      <x:c r="K73" s="14" t="str"/>
      <x:c r="L73" s="14" t="n">
        <x:v>90</x:v>
      </x:c>
      <x:c r="M73" s="14" t="n">
        <x:v>72</x:v>
      </x:c>
      <x:c r="N73" s="14" t="n">
        <x:v>4</x:v>
      </x:c>
      <x:c r="O73" s="14" t="n">
        <x:f>ROUND(L73*0.5+M73*0.3+(N73/5*100)*0.2,0)</x:f>
        <x:v>83</x:v>
      </x:c>
      <x:c r="P73" s="14" t="str">
        <x:f>IF(N73&lt;=2,"VERIFY",IF(AND(O73&gt;=82,N73&gt;=4),"E-A",IF(O73&gt;=74,"E-B","E-C")))</x:f>
        <x:v>E-A</x:v>
      </x:c>
      <x:c r="Q73" s="14" t="str">
        <x:v>기존 v2 제외 확인</x:v>
      </x:c>
      <x:c r="R73" s="14" t="str">
        <x:v>공식사이트 확인</x:v>
      </x:c>
      <x:c r="S73" s="14" t="str">
        <x:v>주택용 세척 장비 다운셀</x:v>
      </x:c>
      <x:c r="T73" s="14" t="str">
        <x:v>제조/수입 구조·소형제품</x:v>
      </x:c>
      <x:c r="U73" s="14" t="str">
        <x:v>2026-08-13</x:v>
      </x:c>
    </x:row>
    <x:row r="74" ht="46" customHeight="1">
      <x:c r="A74" s="14" t="str">
        <x:v>EXP-073</x:v>
      </x:c>
      <x:c r="B74" s="14" t="str">
        <x:v>S08</x:v>
      </x:c>
      <x:c r="C74" s="14" t="str">
        <x:v>MAINTENANCE</x:v>
      </x:c>
      <x:c r="D74" s="14" t="str">
        <x:v>고압세척·청소장비</x:v>
      </x:c>
      <x:c r="E74" s="14" t="str">
        <x:v>보흥클레온 / CLEON</x:v>
      </x:c>
      <x:c r="F74" s="14" t="str">
        <x:v>제조·수출</x:v>
      </x:c>
      <x:c r="G74" s="14" t="str">
        <x:v>https://www.cleon.co.kr/</x:v>
      </x:c>
      <x:c r="H74" s="14" t="str">
        <x:v>공식</x:v>
      </x:c>
      <x:c r="I74" s="14" t="str">
        <x:v>산업 청소장비/고압세척 분야 제조·수출</x:v>
      </x:c>
      <x:c r="J74" s="14" t="str"/>
      <x:c r="K74" s="14" t="str"/>
      <x:c r="L74" s="14" t="n">
        <x:v>96</x:v>
      </x:c>
      <x:c r="M74" s="14" t="n">
        <x:v>45</x:v>
      </x:c>
      <x:c r="N74" s="14" t="n">
        <x:v>5</x:v>
      </x:c>
      <x:c r="O74" s="14" t="n">
        <x:f>ROUND(L74*0.5+M74*0.3+(N74/5*100)*0.2,0)</x:f>
        <x:v>82</x:v>
      </x:c>
      <x:c r="P74" s="14" t="str">
        <x:f>IF(N74&lt;=2,"VERIFY",IF(AND(O74&gt;=82,N74&gt;=4),"E-A",IF(O74&gt;=74,"E-B","E-C")))</x:f>
        <x:v>E-A</x:v>
      </x:c>
      <x:c r="Q74" s="14" t="str">
        <x:v>기존 v2 제외 확인</x:v>
      </x:c>
      <x:c r="R74" s="14" t="str">
        <x:v>공식사이트 확인</x:v>
      </x:c>
      <x:c r="S74" s="14" t="str">
        <x:v>국내제조 관리장비 대표 공급사</x:v>
      </x:c>
      <x:c r="T74" s="14" t="str">
        <x:v>주택용 SKU/리셀러</x:v>
      </x:c>
      <x:c r="U74" s="14" t="str">
        <x:v>2026-08-13</x:v>
      </x:c>
    </x:row>
    <x:row r="75" ht="46" customHeight="1">
      <x:c r="A75" s="14" t="str">
        <x:v>EXP-074</x:v>
      </x:c>
      <x:c r="B75" s="14" t="str">
        <x:v>S08</x:v>
      </x:c>
      <x:c r="C75" s="14" t="str">
        <x:v>MAINTENANCE</x:v>
      </x:c>
      <x:c r="D75" s="14" t="str">
        <x:v>스팀세차·세척장비</x:v>
      </x:c>
      <x:c r="E75" s="14" t="str">
        <x:v>지산테크</x:v>
      </x:c>
      <x:c r="F75" s="14" t="str">
        <x:v>제조</x:v>
      </x:c>
      <x:c r="G75" s="14" t="str">
        <x:v>https://www.komachine.com/ko/companies/jisan-tech</x:v>
      </x:c>
      <x:c r="H75" s="14" t="str">
        <x:v>산업플랫폼</x:v>
      </x:c>
      <x:c r="I75" s="14" t="str">
        <x:v>스팀세척/세차/진공장비 제조사로 소개</x:v>
      </x:c>
      <x:c r="J75" s="14" t="str"/>
      <x:c r="K75" s="14" t="str"/>
      <x:c r="L75" s="14" t="n">
        <x:v>90</x:v>
      </x:c>
      <x:c r="M75" s="14" t="n">
        <x:v>86</x:v>
      </x:c>
      <x:c r="N75" s="14" t="n">
        <x:v>3</x:v>
      </x:c>
      <x:c r="O75" s="14" t="n">
        <x:f>ROUND(L75*0.5+M75*0.3+(N75/5*100)*0.2,0)</x:f>
        <x:v>83</x:v>
      </x:c>
      <x:c r="P75" s="14" t="str">
        <x:f>IF(N75&lt;=2,"VERIFY",IF(AND(O75&gt;=82,N75&gt;=4),"E-A",IF(O75&gt;=74,"E-B","E-C")))</x:f>
        <x:v>E-B</x:v>
      </x:c>
      <x:c r="Q75" s="14" t="str">
        <x:v>기존 v2 제외 확인</x:v>
      </x:c>
      <x:c r="R75" s="14" t="str">
        <x:v>2차자료 확인</x:v>
      </x:c>
      <x:c r="S75" s="14" t="str">
        <x:v>디지털 공백형 제조사 후보</x:v>
      </x:c>
      <x:c r="T75" s="14" t="str">
        <x:v>공식사이트/연락처</x:v>
      </x:c>
      <x:c r="U75" s="14" t="str">
        <x:v>2026-08-13</x:v>
      </x:c>
    </x:row>
    <x:row r="76" ht="46" customHeight="1">
      <x:c r="A76" s="14" t="str">
        <x:v>EXP-075</x:v>
      </x:c>
      <x:c r="B76" s="14" t="str">
        <x:v>S08</x:v>
      </x:c>
      <x:c r="C76" s="14" t="str">
        <x:v>MAINTENANCE</x:v>
      </x:c>
      <x:c r="D76" s="14" t="str">
        <x:v>고압·스팀·초고압세척</x:v>
      </x:c>
      <x:c r="E76" s="14" t="str">
        <x:v>성화제작소 / (주)성화</x:v>
      </x:c>
      <x:c r="F76" s="14" t="str">
        <x:v>제조</x:v>
      </x:c>
      <x:c r="G76" s="14" t="str">
        <x:v>https://www.shinc.co.kr/</x:v>
      </x:c>
      <x:c r="H76" s="14" t="str">
        <x:v>공식</x:v>
      </x:c>
      <x:c r="I76" s="14" t="str">
        <x:v>온수/냉수/스팀/초고압 세척장비 제품</x:v>
      </x:c>
      <x:c r="J76" s="14" t="str"/>
      <x:c r="K76" s="14" t="str"/>
      <x:c r="L76" s="14" t="n">
        <x:v>97</x:v>
      </x:c>
      <x:c r="M76" s="14" t="n">
        <x:v>62</x:v>
      </x:c>
      <x:c r="N76" s="14" t="n">
        <x:v>5</x:v>
      </x:c>
      <x:c r="O76" s="14" t="n">
        <x:f>ROUND(L76*0.5+M76*0.3+(N76/5*100)*0.2,0)</x:f>
        <x:v>87</x:v>
      </x:c>
      <x:c r="P76" s="14" t="str">
        <x:f>IF(N76&lt;=2,"VERIFY",IF(AND(O76&gt;=82,N76&gt;=4),"E-A",IF(O76&gt;=74,"E-B","E-C")))</x:f>
        <x:v>E-A</x:v>
      </x:c>
      <x:c r="Q76" s="14" t="str">
        <x:v>기존 v2 제외 확인</x:v>
      </x:c>
      <x:c r="R76" s="14" t="str">
        <x:v>공식사이트 확인</x:v>
      </x:c>
      <x:c r="S76" s="14" t="str">
        <x:v>외벽·데크·바닥 관리 장비 공급</x:v>
      </x:c>
      <x:c r="T76" s="14" t="str">
        <x:v>소형모델/도매</x:v>
      </x:c>
      <x:c r="U76" s="14" t="str">
        <x:v>2026-08-13</x:v>
      </x:c>
    </x:row>
    <x:row r="77" ht="46" customHeight="1">
      <x:c r="A77" s="14" t="str">
        <x:v>EXP-076</x:v>
      </x:c>
      <x:c r="B77" s="14" t="str">
        <x:v>S08</x:v>
      </x:c>
      <x:c r="C77" s="14" t="str">
        <x:v>MAINTENANCE</x:v>
      </x:c>
      <x:c r="D77" s="14" t="str">
        <x:v>스팀·고압세척기</x:v>
      </x:c>
      <x:c r="E77" s="14" t="str">
        <x:v>대상테크(주)</x:v>
      </x:c>
      <x:c r="F77" s="14" t="str">
        <x:v>제조</x:v>
      </x:c>
      <x:c r="G77" s="14" t="str">
        <x:v>https://www.komachine.com/ko/companies/daesang-tech</x:v>
      </x:c>
      <x:c r="H77" s="14" t="str">
        <x:v>산업플랫폼</x:v>
      </x:c>
      <x:c r="I77" s="14" t="str">
        <x:v>스팀세차/냉온수 고압세척기 장기 제조사</x:v>
      </x:c>
      <x:c r="J77" s="14" t="str"/>
      <x:c r="K77" s="14" t="str"/>
      <x:c r="L77" s="14" t="n">
        <x:v>92</x:v>
      </x:c>
      <x:c r="M77" s="14" t="n">
        <x:v>86</x:v>
      </x:c>
      <x:c r="N77" s="14" t="n">
        <x:v>3</x:v>
      </x:c>
      <x:c r="O77" s="14" t="n">
        <x:f>ROUND(L77*0.5+M77*0.3+(N77/5*100)*0.2,0)</x:f>
        <x:v>84</x:v>
      </x:c>
      <x:c r="P77" s="14" t="str">
        <x:f>IF(N77&lt;=2,"VERIFY",IF(AND(O77&gt;=82,N77&gt;=4),"E-A",IF(O77&gt;=74,"E-B","E-C")))</x:f>
        <x:v>E-B</x:v>
      </x:c>
      <x:c r="Q77" s="14" t="str">
        <x:v>기존 v2 제외 확인</x:v>
      </x:c>
      <x:c r="R77" s="14" t="str">
        <x:v>2차자료 확인</x:v>
      </x:c>
      <x:c r="S77" s="14" t="str">
        <x:v>제품력 대비 AEO 공백 후보</x:v>
      </x:c>
      <x:c r="T77" s="14" t="str">
        <x:v>공식사이트/현재 제품</x:v>
      </x:c>
      <x:c r="U77" s="14" t="str">
        <x:v>2026-08-13</x:v>
      </x:c>
    </x:row>
    <x:row r="78" ht="46" customHeight="1">
      <x:c r="A78" s="14" t="str">
        <x:v>EXP-077</x:v>
      </x:c>
      <x:c r="B78" s="14" t="str">
        <x:v>S08</x:v>
      </x:c>
      <x:c r="C78" s="14" t="str">
        <x:v>MAINTENANCE</x:v>
      </x:c>
      <x:c r="D78" s="14" t="str">
        <x:v>고압세척기·펌프</x:v>
      </x:c>
      <x:c r="E78" s="14" t="str">
        <x:v>(주)클린텍</x:v>
      </x:c>
      <x:c r="F78" s="14" t="str">
        <x:v>설계·제조</x:v>
      </x:c>
      <x:c r="G78" s="14" t="str">
        <x:v>https://komachine.com/ko/companies/clean-tech</x:v>
      </x:c>
      <x:c r="H78" s="14" t="str">
        <x:v>산업플랫폼</x:v>
      </x:c>
      <x:c r="I78" s="14" t="str">
        <x:v>고압세척기/펌프 설계·제조 및 주문 장비</x:v>
      </x:c>
      <x:c r="J78" s="14" t="str"/>
      <x:c r="K78" s="14" t="str"/>
      <x:c r="L78" s="14" t="n">
        <x:v>94</x:v>
      </x:c>
      <x:c r="M78" s="14" t="n">
        <x:v>86</x:v>
      </x:c>
      <x:c r="N78" s="14" t="n">
        <x:v>3</x:v>
      </x:c>
      <x:c r="O78" s="14" t="n">
        <x:f>ROUND(L78*0.5+M78*0.3+(N78/5*100)*0.2,0)</x:f>
        <x:v>85</x:v>
      </x:c>
      <x:c r="P78" s="14" t="str">
        <x:f>IF(N78&lt;=2,"VERIFY",IF(AND(O78&gt;=82,N78&gt;=4),"E-A",IF(O78&gt;=74,"E-B","E-C")))</x:f>
        <x:v>E-B</x:v>
      </x:c>
      <x:c r="Q78" s="14" t="str">
        <x:v>기존 v2 제외 확인</x:v>
      </x:c>
      <x:c r="R78" s="14" t="str">
        <x:v>2차자료 확인</x:v>
      </x:c>
      <x:c r="S78" s="14" t="str">
        <x:v>커스텀 세척 솔루션 공급</x:v>
      </x:c>
      <x:c r="T78" s="14" t="str">
        <x:v>공식웹/소형제품</x:v>
      </x:c>
      <x:c r="U78" s="14" t="str">
        <x:v>2026-08-13</x:v>
      </x:c>
    </x:row>
    <x:row r="79" ht="46" customHeight="1">
      <x:c r="A79" s="14" t="str">
        <x:v>EXP-078</x:v>
      </x:c>
      <x:c r="B79" s="14" t="str">
        <x:v>S08</x:v>
      </x:c>
      <x:c r="C79" s="14" t="str">
        <x:v>MAINTENANCE</x:v>
      </x:c>
      <x:c r="D79" s="14" t="str">
        <x:v>스팀세척기</x:v>
      </x:c>
      <x:c r="E79" s="14" t="str">
        <x:v>(주)스팀젯</x:v>
      </x:c>
      <x:c r="F79" s="14" t="str">
        <x:v>기술·제조</x:v>
      </x:c>
      <x:c r="G79" s="14" t="str">
        <x:v>https://www.komachine.com/ko/companies/steamjet</x:v>
      </x:c>
      <x:c r="H79" s="14" t="str">
        <x:v>산업플랫폼</x:v>
      </x:c>
      <x:c r="I79" s="14" t="str">
        <x:v>스팀 세척장비 제조사로 소개</x:v>
      </x:c>
      <x:c r="J79" s="14" t="str"/>
      <x:c r="K79" s="14" t="str"/>
      <x:c r="L79" s="14" t="n">
        <x:v>90</x:v>
      </x:c>
      <x:c r="M79" s="14" t="n">
        <x:v>88</x:v>
      </x:c>
      <x:c r="N79" s="14" t="n">
        <x:v>3</x:v>
      </x:c>
      <x:c r="O79" s="14" t="n">
        <x:f>ROUND(L79*0.5+M79*0.3+(N79/5*100)*0.2,0)</x:f>
        <x:v>83</x:v>
      </x:c>
      <x:c r="P79" s="14" t="str">
        <x:f>IF(N79&lt;=2,"VERIFY",IF(AND(O79&gt;=82,N79&gt;=4),"E-A",IF(O79&gt;=74,"E-B","E-C")))</x:f>
        <x:v>E-B</x:v>
      </x:c>
      <x:c r="Q79" s="14" t="str">
        <x:v>기존 v2 제외 확인</x:v>
      </x:c>
      <x:c r="R79" s="14" t="str">
        <x:v>2차자료 확인</x:v>
      </x:c>
      <x:c r="S79" s="14" t="str">
        <x:v>AEO 공백 제조사 후보</x:v>
      </x:c>
      <x:c r="T79" s="14" t="str">
        <x:v>공식웹/사업자/연락처</x:v>
      </x:c>
      <x:c r="U79" s="14" t="str">
        <x:v>2026-08-13</x:v>
      </x:c>
    </x:row>
    <x:row r="80" ht="46" customHeight="1">
      <x:c r="A80" s="14" t="str">
        <x:v>EXP-079</x:v>
      </x:c>
      <x:c r="B80" s="14" t="str">
        <x:v>S08</x:v>
      </x:c>
      <x:c r="C80" s="14" t="str">
        <x:v>MAINTENANCE</x:v>
      </x:c>
      <x:c r="D80" s="14" t="str">
        <x:v>고압세척기</x:v>
      </x:c>
      <x:c r="E80" s="14" t="str">
        <x:v>아리산업</x:v>
      </x:c>
      <x:c r="F80" s="14" t="str">
        <x:v>전문업체 후보</x:v>
      </x:c>
      <x:c r="G80" s="14" t="str">
        <x:v>https://www.instagram.com/p/DbYDremGQ-Q/</x:v>
      </x:c>
      <x:c r="H80" s="14" t="str">
        <x:v>SNS</x:v>
      </x:c>
      <x:c r="I80" s="14" t="str">
        <x:v>고압세척기 전문 업체 활동 확인</x:v>
      </x:c>
      <x:c r="J80" s="14" t="str"/>
      <x:c r="K80" s="14" t="str"/>
      <x:c r="L80" s="14" t="n">
        <x:v>82</x:v>
      </x:c>
      <x:c r="M80" s="14" t="n">
        <x:v>94</x:v>
      </x:c>
      <x:c r="N80" s="14" t="n">
        <x:v>2</x:v>
      </x:c>
      <x:c r="O80" s="14" t="n">
        <x:f>ROUND(L80*0.5+M80*0.3+(N80/5*100)*0.2,0)</x:f>
        <x:v>77</x:v>
      </x:c>
      <x:c r="P80" s="14" t="str">
        <x:f>IF(N80&lt;=2,"VERIFY",IF(AND(O80&gt;=82,N80&gt;=4),"E-A",IF(O80&gt;=74,"E-B","E-C")))</x:f>
        <x:v>VERIFY</x:v>
      </x:c>
      <x:c r="Q80" s="14" t="str">
        <x:v>기존 v2 제외 확인</x:v>
      </x:c>
      <x:c r="R80" s="14" t="str">
        <x:v>재검증 필요</x:v>
      </x:c>
      <x:c r="S80" s="14" t="str">
        <x:v>숨은 지역/전문 공급사 후보</x:v>
      </x:c>
      <x:c r="T80" s="14" t="str">
        <x:v>회사 실체·공식사이트·제품</x:v>
      </x:c>
      <x:c r="U80" s="14" t="str">
        <x:v>2026-08-13</x:v>
      </x:c>
    </x:row>
    <x:row r="81" ht="46" customHeight="1">
      <x:c r="A81" s="14" t="str">
        <x:v>EXP-080</x:v>
      </x:c>
      <x:c r="B81" s="14" t="str">
        <x:v>S08</x:v>
      </x:c>
      <x:c r="C81" s="14" t="str">
        <x:v>MAINTENANCE</x:v>
      </x:c>
      <x:c r="D81" s="14" t="str">
        <x:v>스팀세척장비</x:v>
      </x:c>
      <x:c r="E81" s="14" t="str">
        <x:v>스팀나라</x:v>
      </x:c>
      <x:c r="F81" s="14" t="str">
        <x:v>전문업체 후보</x:v>
      </x:c>
      <x:c r="G81" s="14" t="str">
        <x:v>https://www.instagram.com/p/DVxJruggV_1/</x:v>
      </x:c>
      <x:c r="H81" s="14" t="str">
        <x:v>SNS</x:v>
      </x:c>
      <x:c r="I81" s="14" t="str">
        <x:v>스팀세척 장비 업체 활동 확인</x:v>
      </x:c>
      <x:c r="J81" s="14" t="str"/>
      <x:c r="K81" s="14" t="str"/>
      <x:c r="L81" s="14" t="n">
        <x:v>82</x:v>
      </x:c>
      <x:c r="M81" s="14" t="n">
        <x:v>94</x:v>
      </x:c>
      <x:c r="N81" s="14" t="n">
        <x:v>2</x:v>
      </x:c>
      <x:c r="O81" s="14" t="n">
        <x:f>ROUND(L81*0.5+M81*0.3+(N81/5*100)*0.2,0)</x:f>
        <x:v>77</x:v>
      </x:c>
      <x:c r="P81" s="14" t="str">
        <x:f>IF(N81&lt;=2,"VERIFY",IF(AND(O81&gt;=82,N81&gt;=4),"E-A",IF(O81&gt;=74,"E-B","E-C")))</x:f>
        <x:v>VERIFY</x:v>
      </x:c>
      <x:c r="Q81" s="14" t="str">
        <x:v>기존 v2 제외 확인</x:v>
      </x:c>
      <x:c r="R81" s="14" t="str">
        <x:v>재검증 필요</x:v>
      </x:c>
      <x:c r="S81" s="14" t="str">
        <x:v>웹 공백 큰 공급업체 탐색 후보</x:v>
      </x:c>
      <x:c r="T81" s="14" t="str">
        <x:v>회사 실체·공식사이트·유통</x:v>
      </x:c>
      <x:c r="U81" s="14" t="str">
        <x:v>2026-08-13</x:v>
      </x:c>
    </x:row>
    <x:row r="82" ht="46" customHeight="1">
      <x:c r="A82" s="14" t="str">
        <x:v>EXP-081</x:v>
      </x:c>
      <x:c r="B82" s="14" t="str">
        <x:v>S09</x:v>
      </x:c>
      <x:c r="C82" s="14" t="str">
        <x:v>POWER</x:v>
      </x:c>
      <x:c r="D82" s="14" t="str">
        <x:v>태양광 인버터·ESS PCS</x:v>
      </x:c>
      <x:c r="E82" s="14" t="str">
        <x:v>OCI파워</x:v>
      </x:c>
      <x:c r="F82" s="14" t="str">
        <x:v>국내R&amp;D·제조</x:v>
      </x:c>
      <x:c r="G82" s="14" t="str">
        <x:v>https://ocipower.co.kr/company/overview</x:v>
      </x:c>
      <x:c r="H82" s="14" t="str">
        <x:v>공식</x:v>
      </x:c>
      <x:c r="I82" s="14" t="str">
        <x:v>태양광 인버터·ESS PCS 국내 개발/제조 및 공장</x:v>
      </x:c>
      <x:c r="J82" s="14" t="str"/>
      <x:c r="K82" s="14" t="str"/>
      <x:c r="L82" s="14" t="n">
        <x:v>98</x:v>
      </x:c>
      <x:c r="M82" s="14" t="n">
        <x:v>30</x:v>
      </x:c>
      <x:c r="N82" s="14" t="n">
        <x:v>5</x:v>
      </x:c>
      <x:c r="O82" s="14" t="n">
        <x:f>ROUND(L82*0.5+M82*0.3+(N82/5*100)*0.2,0)</x:f>
        <x:v>78</x:v>
      </x:c>
      <x:c r="P82" s="14" t="str">
        <x:f>IF(N82&lt;=2,"VERIFY",IF(AND(O82&gt;=82,N82&gt;=4),"E-A",IF(O82&gt;=74,"E-B","E-C")))</x:f>
        <x:v>E-B</x:v>
      </x:c>
      <x:c r="Q82" s="14" t="str">
        <x:v>기존 v2 제외 확인</x:v>
      </x:c>
      <x:c r="R82" s="14" t="str">
        <x:v>공식사이트 확인</x:v>
      </x:c>
      <x:c r="S82" s="14" t="str">
        <x:v>벤치마크/대형 공급 파트너</x:v>
      </x:c>
      <x:c r="T82" s="14" t="str">
        <x:v>주택용 제품·대리점정책</x:v>
      </x:c>
      <x:c r="U82" s="14" t="str">
        <x:v>2026-08-13</x:v>
      </x:c>
    </x:row>
    <x:row r="83" ht="46" customHeight="1">
      <x:c r="A83" s="14" t="str">
        <x:v>EXP-082</x:v>
      </x:c>
      <x:c r="B83" s="14" t="str">
        <x:v>S09</x:v>
      </x:c>
      <x:c r="C83" s="14" t="str">
        <x:v>POWER</x:v>
      </x:c>
      <x:c r="D83" s="14" t="str">
        <x:v>주택용 태양광 인버터</x:v>
      </x:c>
      <x:c r="E83" s="14" t="str">
        <x:v>이노일렉트릭</x:v>
      </x:c>
      <x:c r="F83" s="14" t="str">
        <x:v>개발·제조</x:v>
      </x:c>
      <x:c r="G83" s="14" t="str">
        <x:v>https://www.solartodaymag.com/news/articleView.html?idxno=20176</x:v>
      </x:c>
      <x:c r="H83" s="14" t="str">
        <x:v>산업기사</x:v>
      </x:c>
      <x:c r="I83" s="14" t="str">
        <x:v>주택용 포함 다양한 용량의 국내 인버터 개발·제조</x:v>
      </x:c>
      <x:c r="J83" s="14" t="str"/>
      <x:c r="K83" s="14" t="str"/>
      <x:c r="L83" s="14" t="n">
        <x:v>96</x:v>
      </x:c>
      <x:c r="M83" s="14" t="n">
        <x:v>78</x:v>
      </x:c>
      <x:c r="N83" s="14" t="n">
        <x:v>4</x:v>
      </x:c>
      <x:c r="O83" s="14" t="n">
        <x:f>ROUND(L83*0.5+M83*0.3+(N83/5*100)*0.2,0)</x:f>
        <x:v>87</x:v>
      </x:c>
      <x:c r="P83" s="14" t="str">
        <x:f>IF(N83&lt;=2,"VERIFY",IF(AND(O83&gt;=82,N83&gt;=4),"E-A",IF(O83&gt;=74,"E-B","E-C")))</x:f>
        <x:v>E-A</x:v>
      </x:c>
      <x:c r="Q83" s="14" t="str">
        <x:v>기존 v2 제외 확인</x:v>
      </x:c>
      <x:c r="R83" s="14" t="str">
        <x:v>산업자료 확인</x:v>
      </x:c>
      <x:c r="S83" s="14" t="str">
        <x:v>국내제조 주택용 인버터 핵심 후보</x:v>
      </x:c>
      <x:c r="T83" s="14" t="str">
        <x:v>공식사이트/연락처/도매</x:v>
      </x:c>
      <x:c r="U83" s="14" t="str">
        <x:v>2026-08-13</x:v>
      </x:c>
    </x:row>
    <x:row r="84" ht="46" customHeight="1">
      <x:c r="A84" s="14" t="str">
        <x:v>EXP-083</x:v>
      </x:c>
      <x:c r="B84" s="14" t="str">
        <x:v>S09</x:v>
      </x:c>
      <x:c r="C84" s="14" t="str">
        <x:v>POWER</x:v>
      </x:c>
      <x:c r="D84" s="14" t="str">
        <x:v>태양광 인버터</x:v>
      </x:c>
      <x:c r="E84" s="14" t="str">
        <x:v>에코스</x:v>
      </x:c>
      <x:c r="F84" s="14" t="str">
        <x:v>국내제조 후보</x:v>
      </x:c>
      <x:c r="G84" s="14" t="str">
        <x:v>https://www.electimes.com/news/articleView.html?idxno=361947</x:v>
      </x:c>
      <x:c r="H84" s="14" t="str">
        <x:v>산업기사</x:v>
      </x:c>
      <x:c r="I84" s="14" t="str">
        <x:v>국산 인버터 제조사 연대 참여기업</x:v>
      </x:c>
      <x:c r="J84" s="14" t="str"/>
      <x:c r="K84" s="14" t="str"/>
      <x:c r="L84" s="14" t="n">
        <x:v>91</x:v>
      </x:c>
      <x:c r="M84" s="14" t="n">
        <x:v>88</x:v>
      </x:c>
      <x:c r="N84" s="14" t="n">
        <x:v>3</x:v>
      </x:c>
      <x:c r="O84" s="14" t="n">
        <x:f>ROUND(L84*0.5+M84*0.3+(N84/5*100)*0.2,0)</x:f>
        <x:v>84</x:v>
      </x:c>
      <x:c r="P84" s="14" t="str">
        <x:f>IF(N84&lt;=2,"VERIFY",IF(AND(O84&gt;=82,N84&gt;=4),"E-A",IF(O84&gt;=74,"E-B","E-C")))</x:f>
        <x:v>E-B</x:v>
      </x:c>
      <x:c r="Q84" s="14" t="str">
        <x:v>기존 v2 제외 확인</x:v>
      </x:c>
      <x:c r="R84" s="14" t="str">
        <x:v>2차자료 확인</x:v>
      </x:c>
      <x:c r="S84" s="14" t="str">
        <x:v>AEO 공백 제조사 후보</x:v>
      </x:c>
      <x:c r="T84" s="14" t="str">
        <x:v>공식사이트/주택용 SKU</x:v>
      </x:c>
      <x:c r="U84" s="14" t="str">
        <x:v>2026-08-13</x:v>
      </x:c>
    </x:row>
    <x:row r="85" ht="46" customHeight="1">
      <x:c r="A85" s="14" t="str">
        <x:v>EXP-084</x:v>
      </x:c>
      <x:c r="B85" s="14" t="str">
        <x:v>S09</x:v>
      </x:c>
      <x:c r="C85" s="14" t="str">
        <x:v>POWER</x:v>
      </x:c>
      <x:c r="D85" s="14" t="str">
        <x:v>태양광 인버터</x:v>
      </x:c>
      <x:c r="E85" s="14" t="str">
        <x:v>동양이앤피</x:v>
      </x:c>
      <x:c r="F85" s="14" t="str">
        <x:v>제조</x:v>
      </x:c>
      <x:c r="G85" s="14" t="str">
        <x:v>https://www.electimes.com/news/articleView.html?idxno=361947</x:v>
      </x:c>
      <x:c r="H85" s="14" t="str">
        <x:v>산업기사</x:v>
      </x:c>
      <x:c r="I85" s="14" t="str">
        <x:v>국산 인버터 제조 기업군 참여</x:v>
      </x:c>
      <x:c r="J85" s="14" t="str"/>
      <x:c r="K85" s="14" t="str"/>
      <x:c r="L85" s="14" t="n">
        <x:v>94</x:v>
      </x:c>
      <x:c r="M85" s="14" t="n">
        <x:v>45</x:v>
      </x:c>
      <x:c r="N85" s="14" t="n">
        <x:v>4</x:v>
      </x:c>
      <x:c r="O85" s="14" t="n">
        <x:f>ROUND(L85*0.5+M85*0.3+(N85/5*100)*0.2,0)</x:f>
        <x:v>77</x:v>
      </x:c>
      <x:c r="P85" s="14" t="str">
        <x:f>IF(N85&lt;=2,"VERIFY",IF(AND(O85&gt;=82,N85&gt;=4),"E-A",IF(O85&gt;=74,"E-B","E-C")))</x:f>
        <x:v>E-B</x:v>
      </x:c>
      <x:c r="Q85" s="14" t="str">
        <x:v>기존 v2 제외 확인</x:v>
      </x:c>
      <x:c r="R85" s="14" t="str">
        <x:v>2차자료 확인</x:v>
      </x:c>
      <x:c r="S85" s="14" t="str">
        <x:v>공급 벤치마크</x:v>
      </x:c>
      <x:c r="T85" s="14" t="str">
        <x:v>주택용 유통정책</x:v>
      </x:c>
      <x:c r="U85" s="14" t="str">
        <x:v>2026-08-13</x:v>
      </x:c>
    </x:row>
    <x:row r="86" ht="46" customHeight="1">
      <x:c r="A86" s="14" t="str">
        <x:v>EXP-085</x:v>
      </x:c>
      <x:c r="B86" s="14" t="str">
        <x:v>S09</x:v>
      </x:c>
      <x:c r="C86" s="14" t="str">
        <x:v>POWER</x:v>
      </x:c>
      <x:c r="D86" s="14" t="str">
        <x:v>태양광 인버터</x:v>
      </x:c>
      <x:c r="E86" s="14" t="str">
        <x:v>디아이케이</x:v>
      </x:c>
      <x:c r="F86" s="14" t="str">
        <x:v>제조</x:v>
      </x:c>
      <x:c r="G86" s="14" t="str">
        <x:v>https://www.electimes.com/news/articleView.html?idxno=361947</x:v>
      </x:c>
      <x:c r="H86" s="14" t="str">
        <x:v>산업기사</x:v>
      </x:c>
      <x:c r="I86" s="14" t="str">
        <x:v>국산 인버터 제조 기업군 참여</x:v>
      </x:c>
      <x:c r="J86" s="14" t="str"/>
      <x:c r="K86" s="14" t="str"/>
      <x:c r="L86" s="14" t="n">
        <x:v>94</x:v>
      </x:c>
      <x:c r="M86" s="14" t="n">
        <x:v>55</x:v>
      </x:c>
      <x:c r="N86" s="14" t="n">
        <x:v>4</x:v>
      </x:c>
      <x:c r="O86" s="14" t="n">
        <x:f>ROUND(L86*0.5+M86*0.3+(N86/5*100)*0.2,0)</x:f>
        <x:v>80</x:v>
      </x:c>
      <x:c r="P86" s="14" t="str">
        <x:f>IF(N86&lt;=2,"VERIFY",IF(AND(O86&gt;=82,N86&gt;=4),"E-A",IF(O86&gt;=74,"E-B","E-C")))</x:f>
        <x:v>E-B</x:v>
      </x:c>
      <x:c r="Q86" s="14" t="str">
        <x:v>기존 v2 제외 확인</x:v>
      </x:c>
      <x:c r="R86" s="14" t="str">
        <x:v>2차자료 확인</x:v>
      </x:c>
      <x:c r="S86" s="14" t="str">
        <x:v>국산 에너지 장비 공급</x:v>
      </x:c>
      <x:c r="T86" s="14" t="str">
        <x:v>공식제품/리셀러</x:v>
      </x:c>
      <x:c r="U86" s="14" t="str">
        <x:v>2026-08-13</x:v>
      </x:c>
    </x:row>
    <x:row r="87" ht="46" customHeight="1">
      <x:c r="A87" s="14" t="str">
        <x:v>EXP-086</x:v>
      </x:c>
      <x:c r="B87" s="14" t="str">
        <x:v>S09</x:v>
      </x:c>
      <x:c r="C87" s="14" t="str">
        <x:v>POWER</x:v>
      </x:c>
      <x:c r="D87" s="14" t="str">
        <x:v>태양광 시스템·소형에너지</x:v>
      </x:c>
      <x:c r="E87" s="14" t="str">
        <x:v>벨츠에너지 / 헵시바</x:v>
      </x:c>
      <x:c r="F87" s="14" t="str">
        <x:v>설계·제조·시공</x:v>
      </x:c>
      <x:c r="G87" s="14" t="str">
        <x:v>https://www.windrex.co.kr/sub1_2.php</x:v>
      </x:c>
      <x:c r="H87" s="14" t="str">
        <x:v>공식</x:v>
      </x:c>
      <x:c r="I87" s="14" t="str">
        <x:v>주거/상업 태양광 설계·제작·시공·사후관리</x:v>
      </x:c>
      <x:c r="J87" s="14" t="str"/>
      <x:c r="K87" s="14" t="str"/>
      <x:c r="L87" s="14" t="n">
        <x:v>93</x:v>
      </x:c>
      <x:c r="M87" s="14" t="n">
        <x:v>72</x:v>
      </x:c>
      <x:c r="N87" s="14" t="n">
        <x:v>5</x:v>
      </x:c>
      <x:c r="O87" s="14" t="n">
        <x:f>ROUND(L87*0.5+M87*0.3+(N87/5*100)*0.2,0)</x:f>
        <x:v>88</x:v>
      </x:c>
      <x:c r="P87" s="14" t="str">
        <x:f>IF(N87&lt;=2,"VERIFY",IF(AND(O87&gt;=82,N87&gt;=4),"E-A",IF(O87&gt;=74,"E-B","E-C")))</x:f>
        <x:v>E-A</x:v>
      </x:c>
      <x:c r="Q87" s="14" t="str">
        <x:v>기존 v2 제외 확인</x:v>
      </x:c>
      <x:c r="R87" s="14" t="str">
        <x:v>공식사이트 확인</x:v>
      </x:c>
      <x:c r="S87" s="14" t="str">
        <x:v>주택 태양광 원스톱 패키지</x:v>
      </x:c>
      <x:c r="T87" s="14" t="str">
        <x:v>지역/가격/제품</x:v>
      </x:c>
      <x:c r="U87" s="14" t="str">
        <x:v>2026-08-13</x:v>
      </x:c>
    </x:row>
    <x:row r="88" ht="46" customHeight="1">
      <x:c r="A88" s="14" t="str">
        <x:v>EXP-087</x:v>
      </x:c>
      <x:c r="B88" s="14" t="str">
        <x:v>S09</x:v>
      </x:c>
      <x:c r="C88" s="14" t="str">
        <x:v>POWER</x:v>
      </x:c>
      <x:c r="D88" s="14" t="str">
        <x:v>비상발전기</x:v>
      </x:c>
      <x:c r="E88" s="14" t="str">
        <x:v>이젠파워</x:v>
      </x:c>
      <x:c r="F88" s="14" t="str">
        <x:v>제작·공급</x:v>
      </x:c>
      <x:c r="G88" s="14" t="str">
        <x:v>https://www.daara.co.kr/sell/s_view.php?no=294137</x:v>
      </x:c>
      <x:c r="H88" s="14" t="str">
        <x:v>산업플랫폼</x:v>
      </x:c>
      <x:c r="I88" s="14" t="str">
        <x:v>발전기/비상발전기 제작 전문 업체로 소개</x:v>
      </x:c>
      <x:c r="J88" s="14" t="str"/>
      <x:c r="K88" s="14" t="str"/>
      <x:c r="L88" s="14" t="n">
        <x:v>90</x:v>
      </x:c>
      <x:c r="M88" s="14" t="n">
        <x:v>90</x:v>
      </x:c>
      <x:c r="N88" s="14" t="n">
        <x:v>3</x:v>
      </x:c>
      <x:c r="O88" s="14" t="n">
        <x:f>ROUND(L88*0.5+M88*0.3+(N88/5*100)*0.2,0)</x:f>
        <x:v>84</x:v>
      </x:c>
      <x:c r="P88" s="14" t="str">
        <x:f>IF(N88&lt;=2,"VERIFY",IF(AND(O88&gt;=82,N88&gt;=4),"E-A",IF(O88&gt;=74,"E-B","E-C")))</x:f>
        <x:v>E-B</x:v>
      </x:c>
      <x:c r="Q88" s="14" t="str">
        <x:v>기존 v2 제외 확인</x:v>
      </x:c>
      <x:c r="R88" s="14" t="str">
        <x:v>2차자료 확인</x:v>
      </x:c>
      <x:c r="S88" s="14" t="str">
        <x:v>AEO 공백 발전기 제조사 후보</x:v>
      </x:c>
      <x:c r="T88" s="14" t="str">
        <x:v>공식사이트/소형모델</x:v>
      </x:c>
      <x:c r="U88" s="14" t="str">
        <x:v>2026-08-13</x:v>
      </x:c>
    </x:row>
    <x:row r="89" ht="46" customHeight="1">
      <x:c r="A89" s="14" t="str">
        <x:v>EXP-088</x:v>
      </x:c>
      <x:c r="B89" s="14" t="str">
        <x:v>S09</x:v>
      </x:c>
      <x:c r="C89" s="14" t="str">
        <x:v>POWER</x:v>
      </x:c>
      <x:c r="D89" s="14" t="str">
        <x:v>비상발전기</x:v>
      </x:c>
      <x:c r="E89" s="14" t="str">
        <x:v>주식회사 다쎈</x:v>
      </x:c>
      <x:c r="F89" s="14" t="str">
        <x:v>제조</x:v>
      </x:c>
      <x:c r="G89" s="14" t="str">
        <x:v>https://www.theteams.kr/recruit/wanted/1916308</x:v>
      </x:c>
      <x:c r="H89" s="14" t="str">
        <x:v>기업/채용자료</x:v>
      </x:c>
      <x:c r="I89" s="14" t="str">
        <x:v>국내외 비상발전기 제조 중소기업으로 소개</x:v>
      </x:c>
      <x:c r="J89" s="14" t="str"/>
      <x:c r="K89" s="14" t="str"/>
      <x:c r="L89" s="14" t="n">
        <x:v>91</x:v>
      </x:c>
      <x:c r="M89" s="14" t="n">
        <x:v>92</x:v>
      </x:c>
      <x:c r="N89" s="14" t="n">
        <x:v>3</x:v>
      </x:c>
      <x:c r="O89" s="14" t="n">
        <x:f>ROUND(L89*0.5+M89*0.3+(N89/5*100)*0.2,0)</x:f>
        <x:v>85</x:v>
      </x:c>
      <x:c r="P89" s="14" t="str">
        <x:f>IF(N89&lt;=2,"VERIFY",IF(AND(O89&gt;=82,N89&gt;=4),"E-A",IF(O89&gt;=74,"E-B","E-C")))</x:f>
        <x:v>E-B</x:v>
      </x:c>
      <x:c r="Q89" s="14" t="str">
        <x:v>기존 v2 제외 확인</x:v>
      </x:c>
      <x:c r="R89" s="14" t="str">
        <x:v>2차자료 확인</x:v>
      </x:c>
      <x:c r="S89" s="14" t="str">
        <x:v>중소 제조사 직접제휴 후보</x:v>
      </x:c>
      <x:c r="T89" s="14" t="str">
        <x:v>공식사이트/현재사업/연락처</x:v>
      </x:c>
      <x:c r="U89" s="14" t="str">
        <x:v>2026-08-13</x:v>
      </x:c>
    </x:row>
    <x:row r="90" ht="46" customHeight="1">
      <x:c r="A90" s="14" t="str">
        <x:v>EXP-089</x:v>
      </x:c>
      <x:c r="B90" s="14" t="str">
        <x:v>S09</x:v>
      </x:c>
      <x:c r="C90" s="14" t="str">
        <x:v>POWER</x:v>
      </x:c>
      <x:c r="D90" s="14" t="str">
        <x:v>발전기·엔진수리</x:v>
      </x:c>
      <x:c r="E90" s="14" t="str">
        <x:v>대성엔지니어링</x:v>
      </x:c>
      <x:c r="F90" s="14" t="str">
        <x:v>제작·정비</x:v>
      </x:c>
      <x:c r="G90" s="14" t="str">
        <x:v>https://www.nl.go.kr/oasis/contents/O1010000.do?contentsId=CNTS-00116234457&amp;schM=view</x:v>
      </x:c>
      <x:c r="H90" s="14" t="str">
        <x:v>웹아카이브</x:v>
      </x:c>
      <x:c r="I90" s="14" t="str">
        <x:v>발전기/비상발전기·엔진수리 전문 웹사이트 기록</x:v>
      </x:c>
      <x:c r="J90" s="14" t="str"/>
      <x:c r="K90" s="14" t="str"/>
      <x:c r="L90" s="14" t="n">
        <x:v>86</x:v>
      </x:c>
      <x:c r="M90" s="14" t="n">
        <x:v>94</x:v>
      </x:c>
      <x:c r="N90" s="14" t="n">
        <x:v>2</x:v>
      </x:c>
      <x:c r="O90" s="14" t="n">
        <x:f>ROUND(L90*0.5+M90*0.3+(N90/5*100)*0.2,0)</x:f>
        <x:v>79</x:v>
      </x:c>
      <x:c r="P90" s="14" t="str">
        <x:f>IF(N90&lt;=2,"VERIFY",IF(AND(O90&gt;=82,N90&gt;=4),"E-A",IF(O90&gt;=74,"E-B","E-C")))</x:f>
        <x:v>VERIFY</x:v>
      </x:c>
      <x:c r="Q90" s="14" t="str">
        <x:v>기존 v2 제외 확인</x:v>
      </x:c>
      <x:c r="R90" s="14" t="str">
        <x:v>재검증 필요</x:v>
      </x:c>
      <x:c r="S90" s="14" t="str">
        <x:v>웹 공백 큰 지역 발전기 업체 후보</x:v>
      </x:c>
      <x:c r="T90" s="14" t="str">
        <x:v>현재 영업/공식사이트/주택용</x:v>
      </x:c>
      <x:c r="U90" s="14" t="str">
        <x:v>2026-08-13</x:v>
      </x:c>
    </x:row>
    <x:row r="91" ht="46" customHeight="1">
      <x:c r="A91" s="14" t="str">
        <x:v>EXP-090</x:v>
      </x:c>
      <x:c r="B91" s="14" t="str">
        <x:v>S09</x:v>
      </x:c>
      <x:c r="C91" s="14" t="str">
        <x:v>POWER</x:v>
      </x:c>
      <x:c r="D91" s="14" t="str">
        <x:v>태양광·ESS 유통/O&amp;M</x:v>
      </x:c>
      <x:c r="E91" s="14" t="str">
        <x:v>알피오(RP5)</x:v>
      </x:c>
      <x:c r="F91" s="14" t="str">
        <x:v>공식유통·O&amp;M</x:v>
      </x:c>
      <x:c r="G91" s="14" t="str">
        <x:v>https://thevc.kr/rp5</x:v>
      </x:c>
      <x:c r="H91" s="14" t="str">
        <x:v>기업DB</x:v>
      </x:c>
      <x:c r="I91" s="14" t="str">
        <x:v>태양광/ESS 유통·O&amp;M 사업자 정보</x:v>
      </x:c>
      <x:c r="J91" s="14" t="str"/>
      <x:c r="K91" s="14" t="str"/>
      <x:c r="L91" s="14" t="n">
        <x:v>86</x:v>
      </x:c>
      <x:c r="M91" s="14" t="n">
        <x:v>82</x:v>
      </x:c>
      <x:c r="N91" s="14" t="n">
        <x:v>3</x:v>
      </x:c>
      <x:c r="O91" s="14" t="n">
        <x:f>ROUND(L91*0.5+M91*0.3+(N91/5*100)*0.2,0)</x:f>
        <x:v>80</x:v>
      </x:c>
      <x:c r="P91" s="14" t="str">
        <x:f>IF(N91&lt;=2,"VERIFY",IF(AND(O91&gt;=82,N91&gt;=4),"E-A",IF(O91&gt;=74,"E-B","E-C")))</x:f>
        <x:v>E-B</x:v>
      </x:c>
      <x:c r="Q91" s="14" t="str">
        <x:v>기존 v2 제외 확인</x:v>
      </x:c>
      <x:c r="R91" s="14" t="str">
        <x:v>2차자료 확인</x:v>
      </x:c>
      <x:c r="S91" s="14" t="str">
        <x:v>장비 공급·O&amp;M 파트너 후보</x:v>
      </x:c>
      <x:c r="T91" s="14" t="str">
        <x:v>공식 홈페이지/유통브랜드</x:v>
      </x:c>
      <x:c r="U91" s="14" t="str">
        <x:v>2026-08-13</x:v>
      </x:c>
    </x:row>
    <x:row r="92" ht="46" customHeight="1">
      <x:c r="A92" s="14" t="str">
        <x:v>EXP-091</x:v>
      </x:c>
      <x:c r="B92" s="14" t="str">
        <x:v>S10</x:v>
      </x:c>
      <x:c r="C92" s="14" t="str">
        <x:v>OUTDOOR,BUILD</x:v>
      </x:c>
      <x:c r="D92" s="14" t="str">
        <x:v>어린이 놀이시설</x:v>
      </x:c>
      <x:c r="E92" s="14" t="str">
        <x:v>더플래이</x:v>
      </x:c>
      <x:c r="F92" s="14" t="str">
        <x:v>제조·시공</x:v>
      </x:c>
      <x:c r="G92" s="14" t="str">
        <x:v>https://www.the-play.kr/</x:v>
      </x:c>
      <x:c r="H92" s="14" t="str">
        <x:v>공식</x:v>
      </x:c>
      <x:c r="I92" s="14" t="str">
        <x:v>놀이시설 전문 제품/시공 업체</x:v>
      </x:c>
      <x:c r="J92" s="14" t="str"/>
      <x:c r="K92" s="14" t="str"/>
      <x:c r="L92" s="14" t="n">
        <x:v>92</x:v>
      </x:c>
      <x:c r="M92" s="14" t="n">
        <x:v>70</x:v>
      </x:c>
      <x:c r="N92" s="14" t="n">
        <x:v>4</x:v>
      </x:c>
      <x:c r="O92" s="14" t="n">
        <x:f>ROUND(L92*0.5+M92*0.3+(N92/5*100)*0.2,0)</x:f>
        <x:v>83</x:v>
      </x:c>
      <x:c r="P92" s="14" t="str">
        <x:f>IF(N92&lt;=2,"VERIFY",IF(AND(O92&gt;=82,N92&gt;=4),"E-A",IF(O92&gt;=74,"E-B","E-C")))</x:f>
        <x:v>E-A</x:v>
      </x:c>
      <x:c r="Q92" s="14" t="str">
        <x:v>기존 v2 제외 확인</x:v>
      </x:c>
      <x:c r="R92" s="14" t="str">
        <x:v>공식사이트 확인</x:v>
      </x:c>
      <x:c r="S92" s="14" t="str">
        <x:v>전원주택용 소형 놀이세트</x:v>
      </x:c>
      <x:c r="T92" s="14" t="str">
        <x:v>가정용 규격/인증/가격</x:v>
      </x:c>
      <x:c r="U92" s="14" t="str">
        <x:v>2026-08-13</x:v>
      </x:c>
    </x:row>
    <x:row r="93" ht="46" customHeight="1">
      <x:c r="A93" s="14" t="str">
        <x:v>EXP-092</x:v>
      </x:c>
      <x:c r="B93" s="14" t="str">
        <x:v>S10</x:v>
      </x:c>
      <x:c r="C93" s="14" t="str">
        <x:v>OUTDOOR,BUILD</x:v>
      </x:c>
      <x:c r="D93" s="14" t="str">
        <x:v>놀이·체육시설·탄성포장</x:v>
      </x:c>
      <x:c r="E93" s="14" t="str">
        <x:v>한국공원체육산업</x:v>
      </x:c>
      <x:c r="F93" s="14" t="str">
        <x:v>제조·시공</x:v>
      </x:c>
      <x:c r="G93" s="14" t="str">
        <x:v>https://www.krpark.co.kr/</x:v>
      </x:c>
      <x:c r="H93" s="14" t="str">
        <x:v>공식</x:v>
      </x:c>
      <x:c r="I93" s="14" t="str">
        <x:v>놀이터/체육시설/탄성포장 제작·시공</x:v>
      </x:c>
      <x:c r="J93" s="14" t="str"/>
      <x:c r="K93" s="14" t="str"/>
      <x:c r="L93" s="14" t="n">
        <x:v>94</x:v>
      </x:c>
      <x:c r="M93" s="14" t="n">
        <x:v>72</x:v>
      </x:c>
      <x:c r="N93" s="14" t="n">
        <x:v>5</x:v>
      </x:c>
      <x:c r="O93" s="14" t="n">
        <x:f>ROUND(L93*0.5+M93*0.3+(N93/5*100)*0.2,0)</x:f>
        <x:v>89</x:v>
      </x:c>
      <x:c r="P93" s="14" t="str">
        <x:f>IF(N93&lt;=2,"VERIFY",IF(AND(O93&gt;=82,N93&gt;=4),"E-A",IF(O93&gt;=74,"E-B","E-C")))</x:f>
        <x:v>E-A</x:v>
      </x:c>
      <x:c r="Q93" s="14" t="str">
        <x:v>기존 v2 제외 확인</x:v>
      </x:c>
      <x:c r="R93" s="14" t="str">
        <x:v>공식사이트 확인</x:v>
      </x:c>
      <x:c r="S93" s="14" t="str">
        <x:v>타운하우스·펜션 B2B + 소형놀이</x:v>
      </x:c>
      <x:c r="T93" s="14" t="str">
        <x:v>개인주택 제품</x:v>
      </x:c>
      <x:c r="U93" s="14" t="str">
        <x:v>2026-08-13</x:v>
      </x:c>
    </x:row>
    <x:row r="94" ht="46" customHeight="1">
      <x:c r="A94" s="14" t="str">
        <x:v>EXP-093</x:v>
      </x:c>
      <x:c r="B94" s="14" t="str">
        <x:v>S10</x:v>
      </x:c>
      <x:c r="C94" s="14" t="str">
        <x:v>OUTDOOR,BUILD</x:v>
      </x:c>
      <x:c r="D94" s="14" t="str">
        <x:v>놀이시설 탄성포장</x:v>
      </x:c>
      <x:c r="E94" s="14" t="str">
        <x:v>대건씨앤엘</x:v>
      </x:c>
      <x:c r="F94" s="14" t="str">
        <x:v>시공·자재</x:v>
      </x:c>
      <x:c r="G94" s="14" t="str">
        <x:v>https://www.daegun21.net/content/68</x:v>
      </x:c>
      <x:c r="H94" s="14" t="str">
        <x:v>공식</x:v>
      </x:c>
      <x:c r="I94" s="14" t="str">
        <x:v>어린이놀이시설 탄성포장 관련 사업</x:v>
      </x:c>
      <x:c r="J94" s="14" t="str"/>
      <x:c r="K94" s="14" t="str"/>
      <x:c r="L94" s="14" t="n">
        <x:v>89</x:v>
      </x:c>
      <x:c r="M94" s="14" t="n">
        <x:v>76</x:v>
      </x:c>
      <x:c r="N94" s="14" t="n">
        <x:v>4</x:v>
      </x:c>
      <x:c r="O94" s="14" t="n">
        <x:f>ROUND(L94*0.5+M94*0.3+(N94/5*100)*0.2,0)</x:f>
        <x:v>83</x:v>
      </x:c>
      <x:c r="P94" s="14" t="str">
        <x:f>IF(N94&lt;=2,"VERIFY",IF(AND(O94&gt;=82,N94&gt;=4),"E-A",IF(O94&gt;=74,"E-B","E-C")))</x:f>
        <x:v>E-A</x:v>
      </x:c>
      <x:c r="Q94" s="14" t="str">
        <x:v>기존 v2 제외 확인</x:v>
      </x:c>
      <x:c r="R94" s="14" t="str">
        <x:v>공식사이트 확인</x:v>
      </x:c>
      <x:c r="S94" s="14" t="str">
        <x:v>안전바닥+놀이시설 패키지</x:v>
      </x:c>
      <x:c r="T94" s="14" t="str">
        <x:v>소규모 시공 최소면적</x:v>
      </x:c>
      <x:c r="U94" s="14" t="str">
        <x:v>2026-08-13</x:v>
      </x:c>
    </x:row>
    <x:row r="95" ht="46" customHeight="1">
      <x:c r="A95" s="14" t="str">
        <x:v>EXP-094</x:v>
      </x:c>
      <x:c r="B95" s="14" t="str">
        <x:v>S10</x:v>
      </x:c>
      <x:c r="C95" s="14" t="str">
        <x:v>OUTDOOR,BUILD</x:v>
      </x:c>
      <x:c r="D95" s="14" t="str">
        <x:v>놀이·조경·야외운동시설</x:v>
      </x:c>
      <x:c r="E95" s="14" t="str">
        <x:v>용우테크</x:v>
      </x:c>
      <x:c r="F95" s="14" t="str">
        <x:v>제조·시공</x:v>
      </x:c>
      <x:c r="G95" s="14" t="str">
        <x:v>https://www.kidssafe.co.kr/</x:v>
      </x:c>
      <x:c r="H95" s="14" t="str">
        <x:v>공식</x:v>
      </x:c>
      <x:c r="I95" s="14" t="str">
        <x:v>놀이터/조경/야외운동 제품군</x:v>
      </x:c>
      <x:c r="J95" s="14" t="str"/>
      <x:c r="K95" s="14" t="str"/>
      <x:c r="L95" s="14" t="n">
        <x:v>94</x:v>
      </x:c>
      <x:c r="M95" s="14" t="n">
        <x:v>74</x:v>
      </x:c>
      <x:c r="N95" s="14" t="n">
        <x:v>5</x:v>
      </x:c>
      <x:c r="O95" s="14" t="n">
        <x:f>ROUND(L95*0.5+M95*0.3+(N95/5*100)*0.2,0)</x:f>
        <x:v>89</x:v>
      </x:c>
      <x:c r="P95" s="14" t="str">
        <x:f>IF(N95&lt;=2,"VERIFY",IF(AND(O95&gt;=82,N95&gt;=4),"E-A",IF(O95&gt;=74,"E-B","E-C")))</x:f>
        <x:v>E-A</x:v>
      </x:c>
      <x:c r="Q95" s="14" t="str">
        <x:v>기존 v2 제외 확인</x:v>
      </x:c>
      <x:c r="R95" s="14" t="str">
        <x:v>공식사이트 확인</x:v>
      </x:c>
      <x:c r="S95" s="14" t="str">
        <x:v>마당형 놀이/운동 시설 큐레이션</x:v>
      </x:c>
      <x:c r="T95" s="14" t="str">
        <x:v>가정용 제품/직배송</x:v>
      </x:c>
      <x:c r="U95" s="14" t="str">
        <x:v>2026-08-13</x:v>
      </x:c>
    </x:row>
    <x:row r="96" ht="46" customHeight="1">
      <x:c r="A96" s="14" t="str">
        <x:v>EXP-095</x:v>
      </x:c>
      <x:c r="B96" s="14" t="str">
        <x:v>S10</x:v>
      </x:c>
      <x:c r="C96" s="14" t="str">
        <x:v>OUTDOOR,BUILD</x:v>
      </x:c>
      <x:c r="D96" s="14" t="str">
        <x:v>놀이·퍼걸러·벤치·자전거보관</x:v>
      </x:c>
      <x:c r="E96" s="14" t="str">
        <x:v>이지데코</x:v>
      </x:c>
      <x:c r="F96" s="14" t="str">
        <x:v>시설물 제조·시공</x:v>
      </x:c>
      <x:c r="G96" s="14" t="str">
        <x:v>https://www.ezpark.kr/sub01_4.html</x:v>
      </x:c>
      <x:c r="H96" s="14" t="str">
        <x:v>공식</x:v>
      </x:c>
      <x:c r="I96" s="14" t="str">
        <x:v>놀이/휴게시설/퍼걸러/벤치 등 다품목</x:v>
      </x:c>
      <x:c r="J96" s="14" t="str"/>
      <x:c r="K96" s="14" t="str"/>
      <x:c r="L96" s="14" t="n">
        <x:v>95</x:v>
      </x:c>
      <x:c r="M96" s="14" t="n">
        <x:v>78</x:v>
      </x:c>
      <x:c r="N96" s="14" t="n">
        <x:v>5</x:v>
      </x:c>
      <x:c r="O96" s="14" t="n">
        <x:f>ROUND(L96*0.5+M96*0.3+(N96/5*100)*0.2,0)</x:f>
        <x:v>91</x:v>
      </x:c>
      <x:c r="P96" s="14" t="str">
        <x:f>IF(N96&lt;=2,"VERIFY",IF(AND(O96&gt;=82,N96&gt;=4),"E-A",IF(O96&gt;=74,"E-B","E-C")))</x:f>
        <x:v>E-A</x:v>
      </x:c>
      <x:c r="Q96" s="14" t="str">
        <x:v>기존 v2 제외 확인</x:v>
      </x:c>
      <x:c r="R96" s="14" t="str">
        <x:v>공식사이트 확인</x:v>
      </x:c>
      <x:c r="S96" s="14" t="str">
        <x:v>멀티카테고리 시설물 공급</x:v>
      </x:c>
      <x:c r="T96" s="14" t="str">
        <x:v>소형주택 주문/납품</x:v>
      </x:c>
      <x:c r="U96" s="14" t="str">
        <x:v>2026-08-13</x:v>
      </x:c>
    </x:row>
    <x:row r="97" ht="46" customHeight="1">
      <x:c r="A97" s="14" t="str">
        <x:v>EXP-096</x:v>
      </x:c>
      <x:c r="B97" s="14" t="str">
        <x:v>S10</x:v>
      </x:c>
      <x:c r="C97" s="14" t="str">
        <x:v>OUTDOOR,BUILD</x:v>
      </x:c>
      <x:c r="D97" s="14" t="str">
        <x:v>놀이시설·탄성포장</x:v>
      </x:c>
      <x:c r="E97" s="14" t="str">
        <x:v>(주)씨에스엘</x:v>
      </x:c>
      <x:c r="F97" s="14" t="str">
        <x:v>시공·시설</x:v>
      </x:c>
      <x:c r="G97" s="14" t="str">
        <x:v>https://cslgreen.com/Works6</x:v>
      </x:c>
      <x:c r="H97" s="14" t="str">
        <x:v>공식</x:v>
      </x:c>
      <x:c r="I97" s="14" t="str">
        <x:v>놀이시설 및 탄성포장 시공 사업</x:v>
      </x:c>
      <x:c r="J97" s="14" t="str"/>
      <x:c r="K97" s="14" t="str"/>
      <x:c r="L97" s="14" t="n">
        <x:v>90</x:v>
      </x:c>
      <x:c r="M97" s="14" t="n">
        <x:v>78</x:v>
      </x:c>
      <x:c r="N97" s="14" t="n">
        <x:v>4</x:v>
      </x:c>
      <x:c r="O97" s="14" t="n">
        <x:f>ROUND(L97*0.5+M97*0.3+(N97/5*100)*0.2,0)</x:f>
        <x:v>84</x:v>
      </x:c>
      <x:c r="P97" s="14" t="str">
        <x:f>IF(N97&lt;=2,"VERIFY",IF(AND(O97&gt;=82,N97&gt;=4),"E-A",IF(O97&gt;=74,"E-B","E-C")))</x:f>
        <x:v>E-A</x:v>
      </x:c>
      <x:c r="Q97" s="14" t="str">
        <x:v>기존 v2 제외 확인</x:v>
      </x:c>
      <x:c r="R97" s="14" t="str">
        <x:v>공식사이트 확인</x:v>
      </x:c>
      <x:c r="S97" s="14" t="str">
        <x:v>펜션·타운하우스 키즈공간</x:v>
      </x:c>
      <x:c r="T97" s="14" t="str">
        <x:v>개인주택 최소공사</x:v>
      </x:c>
      <x:c r="U97" s="14" t="str">
        <x:v>2026-08-13</x:v>
      </x:c>
    </x:row>
    <x:row r="98" ht="46" customHeight="1">
      <x:c r="A98" s="14" t="str">
        <x:v>EXP-097</x:v>
      </x:c>
      <x:c r="B98" s="14" t="str">
        <x:v>S10</x:v>
      </x:c>
      <x:c r="C98" s="14" t="str">
        <x:v>OUTDOOR,BUILD</x:v>
      </x:c>
      <x:c r="D98" s="14" t="str">
        <x:v>조경·놀이시설</x:v>
      </x:c>
      <x:c r="E98" s="14" t="str">
        <x:v>청솔조경</x:v>
      </x:c>
      <x:c r="F98" s="14" t="str">
        <x:v>시설물·조경</x:v>
      </x:c>
      <x:c r="G98" s="14" t="str">
        <x:v>https://cs-land.co.kr/</x:v>
      </x:c>
      <x:c r="H98" s="14" t="str">
        <x:v>공식 후보</x:v>
      </x:c>
      <x:c r="I98" s="14" t="str">
        <x:v>조경시설/놀이시설 사업 후보</x:v>
      </x:c>
      <x:c r="J98" s="14" t="str"/>
      <x:c r="K98" s="14" t="str"/>
      <x:c r="L98" s="14" t="n">
        <x:v>88</x:v>
      </x:c>
      <x:c r="M98" s="14" t="n">
        <x:v>84</x:v>
      </x:c>
      <x:c r="N98" s="14" t="n">
        <x:v>3</x:v>
      </x:c>
      <x:c r="O98" s="14" t="n">
        <x:f>ROUND(L98*0.5+M98*0.3+(N98/5*100)*0.2,0)</x:f>
        <x:v>81</x:v>
      </x:c>
      <x:c r="P98" s="14" t="str">
        <x:f>IF(N98&lt;=2,"VERIFY",IF(AND(O98&gt;=82,N98&gt;=4),"E-A",IF(O98&gt;=74,"E-B","E-C")))</x:f>
        <x:v>E-B</x:v>
      </x:c>
      <x:c r="Q98" s="14" t="str">
        <x:v>기존 v2 제외 확인</x:v>
      </x:c>
      <x:c r="R98" s="14" t="str">
        <x:v>재검증 필요</x:v>
      </x:c>
      <x:c r="S98" s="14" t="str">
        <x:v>지역 조경시설 공급사</x:v>
      </x:c>
      <x:c r="T98" s="14" t="str">
        <x:v>공식사업자/제품·연락처</x:v>
      </x:c>
      <x:c r="U98" s="14" t="str">
        <x:v>2026-08-13</x:v>
      </x:c>
    </x:row>
    <x:row r="99" ht="46" customHeight="1">
      <x:c r="A99" s="14" t="str">
        <x:v>EXP-098</x:v>
      </x:c>
      <x:c r="B99" s="14" t="str">
        <x:v>S10</x:v>
      </x:c>
      <x:c r="C99" s="14" t="str">
        <x:v>OUTDOOR,BUILD</x:v>
      </x:c>
      <x:c r="D99" s="14" t="str">
        <x:v>놀이·퍼걸러·벤치</x:v>
      </x:c>
      <x:c r="E99" s="14" t="str">
        <x:v>디아이디</x:v>
      </x:c>
      <x:c r="F99" s="14" t="str">
        <x:v>시설물·시공</x:v>
      </x:c>
      <x:c r="G99" s="14" t="str">
        <x:v>https://www.didlsd.com/pages/history.php</x:v>
      </x:c>
      <x:c r="H99" s="14" t="str">
        <x:v>공식</x:v>
      </x:c>
      <x:c r="I99" s="14" t="str">
        <x:v>놀이시설/퍼걸러/옥외벤치 프로젝트</x:v>
      </x:c>
      <x:c r="J99" s="14" t="str"/>
      <x:c r="K99" s="14" t="str"/>
      <x:c r="L99" s="14" t="n">
        <x:v>92</x:v>
      </x:c>
      <x:c r="M99" s="14" t="n">
        <x:v>76</x:v>
      </x:c>
      <x:c r="N99" s="14" t="n">
        <x:v>4</x:v>
      </x:c>
      <x:c r="O99" s="14" t="n">
        <x:f>ROUND(L99*0.5+M99*0.3+(N99/5*100)*0.2,0)</x:f>
        <x:v>85</x:v>
      </x:c>
      <x:c r="P99" s="14" t="str">
        <x:f>IF(N99&lt;=2,"VERIFY",IF(AND(O99&gt;=82,N99&gt;=4),"E-A",IF(O99&gt;=74,"E-B","E-C")))</x:f>
        <x:v>E-A</x:v>
      </x:c>
      <x:c r="Q99" s="14" t="str">
        <x:v>기존 v2 제외 확인</x:v>
      </x:c>
      <x:c r="R99" s="14" t="str">
        <x:v>공식사이트 확인</x:v>
      </x:c>
      <x:c r="S99" s="14" t="str">
        <x:v>키즈+휴게시설 묶음 공급</x:v>
      </x:c>
      <x:c r="T99" s="14" t="str">
        <x:v>제품 카탈로그/소형주문</x:v>
      </x:c>
      <x:c r="U99" s="14" t="str">
        <x:v>2026-08-13</x:v>
      </x:c>
    </x:row>
    <x:row r="100" ht="46" customHeight="1">
      <x:c r="A100" s="14" t="str">
        <x:v>EXP-099</x:v>
      </x:c>
      <x:c r="B100" s="14" t="str">
        <x:v>S10</x:v>
      </x:c>
      <x:c r="C100" s="14" t="str">
        <x:v>OUTDOOR,BUILD</x:v>
      </x:c>
      <x:c r="D100" s="14" t="str">
        <x:v>퍼걸러·놀이·조경시설</x:v>
      </x:c>
      <x:c r="E100" s="14" t="str">
        <x:v>YNC조경종합건설</x:v>
      </x:c>
      <x:c r="F100" s="14" t="str">
        <x:v>조경·시설시공</x:v>
      </x:c>
      <x:c r="G100" s="14" t="str">
        <x:v>https://xn--z69akfs61doydtio9bvzdxxc.com/business/</x:v>
      </x:c>
      <x:c r="H100" s="14" t="str">
        <x:v>공식</x:v>
      </x:c>
      <x:c r="I100" s="14" t="str">
        <x:v>퍼걸러/놀이터/조경시설 사업</x:v>
      </x:c>
      <x:c r="J100" s="14" t="str"/>
      <x:c r="K100" s="14" t="str"/>
      <x:c r="L100" s="14" t="n">
        <x:v>90</x:v>
      </x:c>
      <x:c r="M100" s="14" t="n">
        <x:v>82</x:v>
      </x:c>
      <x:c r="N100" s="14" t="n">
        <x:v>4</x:v>
      </x:c>
      <x:c r="O100" s="14" t="n">
        <x:f>ROUND(L100*0.5+M100*0.3+(N100/5*100)*0.2,0)</x:f>
        <x:v>86</x:v>
      </x:c>
      <x:c r="P100" s="14" t="str">
        <x:f>IF(N100&lt;=2,"VERIFY",IF(AND(O100&gt;=82,N100&gt;=4),"E-A",IF(O100&gt;=74,"E-B","E-C")))</x:f>
        <x:v>E-A</x:v>
      </x:c>
      <x:c r="Q100" s="14" t="str">
        <x:v>기존 v2 제외 확인</x:v>
      </x:c>
      <x:c r="R100" s="14" t="str">
        <x:v>공식사이트 확인</x:v>
      </x:c>
      <x:c r="S100" s="14" t="str">
        <x:v>지역 시공 리드 + 다품목</x:v>
      </x:c>
      <x:c r="T100" s="14" t="str">
        <x:v>설치권역/소형공사</x:v>
      </x:c>
      <x:c r="U100" s="14" t="str">
        <x:v>2026-08-13</x:v>
      </x:c>
    </x:row>
    <x:row r="101" ht="46" customHeight="1">
      <x:c r="A101" s="14" t="str">
        <x:v>EXP-100</x:v>
      </x:c>
      <x:c r="B101" s="14" t="str">
        <x:v>S10</x:v>
      </x:c>
      <x:c r="C101" s="14" t="str">
        <x:v>OUTDOOR,BUILD</x:v>
      </x:c>
      <x:c r="D101" s="14" t="str">
        <x:v>차양·자전거보관·펜스·벤치·퍼걸러</x:v>
      </x:c>
      <x:c r="E101" s="14" t="str">
        <x:v>다은네이처</x:v>
      </x:c>
      <x:c r="F101" s="14" t="str">
        <x:v>시설물 제조</x:v>
      </x:c>
      <x:c r="G101" s="14" t="str">
        <x:v>http://dnnature.com/</x:v>
      </x:c>
      <x:c r="H101" s="14" t="str">
        <x:v>공식/기업정보</x:v>
      </x:c>
      <x:c r="I101" s="14" t="str">
        <x:v>조경·금속 시설물 다품목 제조 성격</x:v>
      </x:c>
      <x:c r="J101" s="14" t="str"/>
      <x:c r="K101" s="14" t="str"/>
      <x:c r="L101" s="14" t="n">
        <x:v>94</x:v>
      </x:c>
      <x:c r="M101" s="14" t="n">
        <x:v>86</x:v>
      </x:c>
      <x:c r="N101" s="14" t="n">
        <x:v>4</x:v>
      </x:c>
      <x:c r="O101" s="14" t="n">
        <x:f>ROUND(L101*0.5+M101*0.3+(N101/5*100)*0.2,0)</x:f>
        <x:v>89</x:v>
      </x:c>
      <x:c r="P101" s="14" t="str">
        <x:f>IF(N101&lt;=2,"VERIFY",IF(AND(O101&gt;=82,N101&gt;=4),"E-A",IF(O101&gt;=74,"E-B","E-C")))</x:f>
        <x:v>E-A</x:v>
      </x:c>
      <x:c r="Q101" s="14" t="str">
        <x:v>기존 v2 제외 확인</x:v>
      </x:c>
      <x:c r="R101" s="14" t="str">
        <x:v>공식사이트/기업정보 확인</x:v>
      </x:c>
      <x:c r="S101" s="14" t="str">
        <x:v>펫/키즈/휴게시설 멀티공급</x:v>
      </x:c>
      <x:c r="T101" s="14" t="str">
        <x:v>카탈로그/전국납품/OEM</x:v>
      </x:c>
      <x:c r="U101" s="14" t="str">
        <x:v>2026-08-13</x:v>
      </x:c>
    </x:row>
  </x:sheetData>
  <x:conditionalFormatting sqref="O2:O10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{33FC2AB9-8C9D-0DB2-1EF3-FCD72DAB2935}</x14:id>
        </x:ext>
      </x:extLst>
    </x:cfRule>
  </x:conditionalFormatting>
  <x:conditionalFormatting sqref="M2:M101">
    <x:cfRule type="colorScale" priority="2">
      <x:colorScale>
        <x:cfvo type="min"/>
        <x:cfvo type="percentile" val="50"/>
        <x:cfvo type="max"/>
        <x:color rgb="FFDCFCE7"/>
        <x:color rgb="FFFEF3C7"/>
        <x:color rgb="FFFCA5A5"/>
      </x:colorScale>
    </x:cfRule>
  </x:conditionalFormatting>
  <x:conditionalFormatting sqref="P2:P101">
    <x:cfRule type="expression" dxfId="14" priority="3">
      <x:formula>P2="E-A"</x:formula>
    </x:cfRule>
    <x:cfRule type="expression" dxfId="15" priority="4">
      <x:formula>P2="E-B"</x:formula>
    </x:cfRule>
    <x:cfRule type="expression" dxfId="16" priority="5">
      <x:formula>P2="E-C"</x:formula>
    </x:cfRule>
    <x:cfRule type="expression" dxfId="17" priority="6">
      <x:formula>P2="VERIFY"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3558a622d94dd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3FC2AB9-8C9D-0DB2-1EF3-FCD72DAB2935}">
            <x14:dataBar gradient="1">
              <x14:cfvo type="min"/>
              <x14:cfvo type="max"/>
              <x14:fillColor rgb="FFA02B93"/>
            </x14:dataBar>
          </x14:cfRule>
          <xm:sqref>O2:O101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5" hidden="0" customWidth="1"/>
    <x:col min="4" max="4" width="13" hidden="0" customWidth="1"/>
    <x:col min="5" max="5" width="14" hidden="0" customWidth="1"/>
    <x:col min="6" max="6" width="15" hidden="0" customWidth="1"/>
    <x:col min="7" max="7" width="17" hidden="0" customWidth="1"/>
    <x:col min="8" max="8" width="10" hidden="0" customWidth="1"/>
    <x:col min="9" max="9" width="10" hidden="0" customWidth="1"/>
    <x:col min="10" max="10" width="11" hidden="0" customWidth="1"/>
    <x:col min="11" max="11" width="43" hidden="0" customWidth="1"/>
  </x:cols>
  <x:sheetData>
    <x:row r="1">
      <x:c r="A1" s="84" t="str">
        <x:v>소싱군</x:v>
      </x:c>
      <x:c r="B1" s="84" t="str">
        <x:v>기존 v1 Master</x:v>
      </x:c>
      <x:c r="C1" s="84" t="str">
        <x:v>v2 추가후보</x:v>
      </x:c>
      <x:c r="D1" s="84" t="str">
        <x:v>v3 신규</x:v>
      </x:c>
      <x:c r="E1" s="84" t="str">
        <x:v>잠재 총계</x:v>
      </x:c>
      <x:c r="F1" s="84" t="str">
        <x:v>v3 평균 Fit</x:v>
      </x:c>
      <x:c r="G1" s="84" t="str">
        <x:v>v3 평균 AEO기회</x:v>
      </x:c>
      <x:c r="H1" s="84" t="str">
        <x:v>E-A</x:v>
      </x:c>
      <x:c r="I1" s="84" t="str">
        <x:v>E-B</x:v>
      </x:c>
      <x:c r="J1" s="84" t="str">
        <x:v>VERIFY</x:v>
      </x:c>
      <x:c r="K1" s="84" t="str">
        <x:v>대표 확장영역</x:v>
      </x:c>
    </x:row>
    <x:row r="2">
      <x:c r="A2" s="12" t="str">
        <x:v>S01</x:v>
      </x:c>
      <x:c r="B2" s="12" t="n">
        <x:v>10</x:v>
      </x:c>
      <x:c r="C2" s="12" t="n">
        <x:v>4</x:v>
      </x:c>
      <x:c r="D2" s="12" t="n">
        <x:v>10</x:v>
      </x:c>
      <x:c r="E2" s="12" t="n">
        <x:v>24</x:v>
      </x:c>
      <x:c r="F2" s="12" t="n">
        <x:v>90</x:v>
      </x:c>
      <x:c r="G2" s="12" t="n">
        <x:v>79.5</x:v>
      </x:c>
      <x:c r="H2" s="12" t="n">
        <x:v>8</x:v>
      </x:c>
      <x:c r="I2" s="12" t="n">
        <x:v>2</x:v>
      </x:c>
      <x:c r="J2" s="12" t="n">
        <x:v>0</x:v>
      </x:c>
      <x:c r="K2" s="12" t="str">
        <x:v>휀스·자동대문·철망 제조/시공</x:v>
      </x:c>
    </x:row>
    <x:row r="3">
      <x:c r="A3" s="12" t="str">
        <x:v>S02</x:v>
      </x:c>
      <x:c r="B3" s="12" t="n">
        <x:v>12</x:v>
      </x:c>
      <x:c r="C3" s="12" t="n">
        <x:v>0</x:v>
      </x:c>
      <x:c r="D3" s="12" t="n">
        <x:v>10</x:v>
      </x:c>
      <x:c r="E3" s="12" t="n">
        <x:v>22</x:v>
      </x:c>
      <x:c r="F3" s="12" t="n">
        <x:v>89.4</x:v>
      </x:c>
      <x:c r="G3" s="12" t="n">
        <x:v>63.1</x:v>
      </x:c>
      <x:c r="H3" s="12" t="n">
        <x:v>5</x:v>
      </x:c>
      <x:c r="I3" s="12" t="n">
        <x:v>5</x:v>
      </x:c>
      <x:c r="J3" s="12" t="n">
        <x:v>0</x:v>
      </x:c>
      <x:c r="K3" s="12" t="str">
        <x:v>카포트·EV충전 설치·태양광주차</x:v>
      </x:c>
    </x:row>
    <x:row r="4">
      <x:c r="A4" s="12" t="str">
        <x:v>S03</x:v>
      </x:c>
      <x:c r="B4" s="12" t="n">
        <x:v>11</x:v>
      </x:c>
      <x:c r="C4" s="12" t="n">
        <x:v>0</x:v>
      </x:c>
      <x:c r="D4" s="12" t="n">
        <x:v>10</x:v>
      </x:c>
      <x:c r="E4" s="12" t="n">
        <x:v>21</x:v>
      </x:c>
      <x:c r="F4" s="12" t="n">
        <x:v>90.3</x:v>
      </x:c>
      <x:c r="G4" s="12" t="n">
        <x:v>71</x:v>
      </x:c>
      <x:c r="H4" s="12" t="n">
        <x:v>6</x:v>
      </x:c>
      <x:c r="I4" s="12" t="n">
        <x:v>4</x:v>
      </x:c>
      <x:c r="J4" s="12" t="n">
        <x:v>0</x:v>
      </x:c>
      <x:c r="K4" s="12" t="str">
        <x:v>택배함·락커·창고·분리수거</x:v>
      </x:c>
    </x:row>
    <x:row r="5">
      <x:c r="A5" s="12" t="str">
        <x:v>S04</x:v>
      </x:c>
      <x:c r="B5" s="12" t="n">
        <x:v>8</x:v>
      </x:c>
      <x:c r="C5" s="12" t="n">
        <x:v>0</x:v>
      </x:c>
      <x:c r="D5" s="12" t="n">
        <x:v>10</x:v>
      </x:c>
      <x:c r="E5" s="12" t="n">
        <x:v>18</x:v>
      </x:c>
      <x:c r="F5" s="12" t="n">
        <x:v>91.7</x:v>
      </x:c>
      <x:c r="G5" s="12" t="n">
        <x:v>69.6</x:v>
      </x:c>
      <x:c r="H5" s="12" t="n">
        <x:v>5</x:v>
      </x:c>
      <x:c r="I5" s="12" t="n">
        <x:v>4</x:v>
      </x:c>
      <x:c r="J5" s="12" t="n">
        <x:v>0</x:v>
      </x:c>
      <x:c r="K5" s="12" t="str">
        <x:v>국산 CCTV·모듈·도어락·스마트홈</x:v>
      </x:c>
    </x:row>
    <x:row r="6">
      <x:c r="A6" s="12" t="str">
        <x:v>S05</x:v>
      </x:c>
      <x:c r="B6" s="12" t="n">
        <x:v>18</x:v>
      </x:c>
      <x:c r="C6" s="12" t="n">
        <x:v>1</x:v>
      </x:c>
      <x:c r="D6" s="12" t="n">
        <x:v>10</x:v>
      </x:c>
      <x:c r="E6" s="12" t="n">
        <x:v>29</x:v>
      </x:c>
      <x:c r="F6" s="12" t="n">
        <x:v>92.5</x:v>
      </x:c>
      <x:c r="G6" s="12" t="n">
        <x:v>67.4</x:v>
      </x:c>
      <x:c r="H6" s="12" t="n">
        <x:v>9</x:v>
      </x:c>
      <x:c r="I6" s="12" t="n">
        <x:v>1</x:v>
      </x:c>
      <x:c r="J6" s="12" t="n">
        <x:v>0</x:v>
      </x:c>
      <x:c r="K6" s="12" t="str">
        <x:v>퍼골라·어닝·WPC·야외가구</x:v>
      </x:c>
    </x:row>
    <x:row r="7">
      <x:c r="A7" s="12" t="str">
        <x:v>S06</x:v>
      </x:c>
      <x:c r="B7" s="12" t="n">
        <x:v>8</x:v>
      </x:c>
      <x:c r="C7" s="12" t="n">
        <x:v>1</x:v>
      </x:c>
      <x:c r="D7" s="12" t="n">
        <x:v>10</x:v>
      </x:c>
      <x:c r="E7" s="12" t="n">
        <x:v>19</x:v>
      </x:c>
      <x:c r="F7" s="12" t="n">
        <x:v>92.9</x:v>
      </x:c>
      <x:c r="G7" s="12" t="n">
        <x:v>69.3</x:v>
      </x:c>
      <x:c r="H7" s="12" t="n">
        <x:v>10</x:v>
      </x:c>
      <x:c r="I7" s="12" t="n">
        <x:v>0</x:v>
      </x:c>
      <x:c r="J7" s="12" t="n">
        <x:v>0</x:v>
      </x:c>
      <x:c r="K7" s="12" t="str">
        <x:v>모듈풀·수처리·스파·사우나</x:v>
      </x:c>
    </x:row>
    <x:row r="8">
      <x:c r="A8" s="12" t="str">
        <x:v>S07</x:v>
      </x:c>
      <x:c r="B8" s="12" t="n">
        <x:v>9</x:v>
      </x:c>
      <x:c r="C8" s="12" t="n">
        <x:v>0</x:v>
      </x:c>
      <x:c r="D8" s="12" t="n">
        <x:v>10</x:v>
      </x:c>
      <x:c r="E8" s="12" t="n">
        <x:v>19</x:v>
      </x:c>
      <x:c r="F8" s="12" t="n">
        <x:v>91.2</x:v>
      </x:c>
      <x:c r="G8" s="12" t="n">
        <x:v>64.4</x:v>
      </x:c>
      <x:c r="H8" s="12" t="n">
        <x:v>6</x:v>
      </x:c>
      <x:c r="I8" s="12" t="n">
        <x:v>4</x:v>
      </x:c>
      <x:c r="J8" s="12" t="n">
        <x:v>0</x:v>
      </x:c>
      <x:c r="K8" s="12" t="str">
        <x:v>관수·조경자재·인조잔디·IoT정원</x:v>
      </x:c>
    </x:row>
    <x:row r="9">
      <x:c r="A9" s="12" t="str">
        <x:v>S08</x:v>
      </x:c>
      <x:c r="B9" s="12" t="n">
        <x:v>5</x:v>
      </x:c>
      <x:c r="C9" s="12" t="n">
        <x:v>0</x:v>
      </x:c>
      <x:c r="D9" s="12" t="n">
        <x:v>10</x:v>
      </x:c>
      <x:c r="E9" s="12" t="n">
        <x:v>15</x:v>
      </x:c>
      <x:c r="F9" s="12" t="n">
        <x:v>91</x:v>
      </x:c>
      <x:c r="G9" s="12" t="n">
        <x:v>76.3</x:v>
      </x:c>
      <x:c r="H9" s="12" t="n">
        <x:v>4</x:v>
      </x:c>
      <x:c r="I9" s="12" t="n">
        <x:v>4</x:v>
      </x:c>
      <x:c r="J9" s="12" t="n">
        <x:v>2</x:v>
      </x:c>
      <x:c r="K9" s="12" t="str">
        <x:v>국산 고압/스팀 세척장비</x:v>
      </x:c>
    </x:row>
    <x:row r="10">
      <x:c r="A10" s="12" t="str">
        <x:v>S09</x:v>
      </x:c>
      <x:c r="B10" s="12" t="n">
        <x:v>8</x:v>
      </x:c>
      <x:c r="C10" s="12" t="n">
        <x:v>0</x:v>
      </x:c>
      <x:c r="D10" s="12" t="n">
        <x:v>10</x:v>
      </x:c>
      <x:c r="E10" s="12" t="n">
        <x:v>18</x:v>
      </x:c>
      <x:c r="F10" s="12" t="n">
        <x:v>91.9</x:v>
      </x:c>
      <x:c r="G10" s="12" t="n">
        <x:v>72.6</x:v>
      </x:c>
      <x:c r="H10" s="12" t="n">
        <x:v>2</x:v>
      </x:c>
      <x:c r="I10" s="12" t="n">
        <x:v>7</x:v>
      </x:c>
      <x:c r="J10" s="12" t="n">
        <x:v>1</x:v>
      </x:c>
      <x:c r="K10" s="12" t="str">
        <x:v>국산 인버터·태양광·비상발전</x:v>
      </x:c>
    </x:row>
    <x:row r="11">
      <x:c r="A11" s="12" t="str">
        <x:v>S10</x:v>
      </x:c>
      <x:c r="B11" s="12" t="n">
        <x:v>10</x:v>
      </x:c>
      <x:c r="C11" s="12" t="n">
        <x:v>1</x:v>
      </x:c>
      <x:c r="D11" s="12" t="n">
        <x:v>10</x:v>
      </x:c>
      <x:c r="E11" s="12" t="n">
        <x:v>21</x:v>
      </x:c>
      <x:c r="F11" s="12" t="n">
        <x:v>91.8</x:v>
      </x:c>
      <x:c r="G11" s="12" t="n">
        <x:v>77.6</x:v>
      </x:c>
      <x:c r="H11" s="12" t="n">
        <x:v>9</x:v>
      </x:c>
      <x:c r="I11" s="12" t="n">
        <x:v>1</x:v>
      </x:c>
      <x:c r="J11" s="12" t="n">
        <x:v>0</x:v>
      </x:c>
      <x:c r="K11" s="12" t="str">
        <x:v>놀이·조경·펫/키즈 시설물</x:v>
      </x:c>
    </x:row>
  </x:sheetData>
  <x:pageMargins left="0.7" right="0.7" top="0.75" bottom="0.75" header="0.3" footer="0.3"/>
  <x:drawing xmlns:r="http://schemas.openxmlformats.org/officeDocument/2006/relationships" r:id="R54ba0115dee3486b"/>
  <x:tableParts count="1">
    <x:tablePart xmlns:r="http://schemas.openxmlformats.org/officeDocument/2006/relationships" r:id="R588032efa582440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0" hidden="0" customWidth="1"/>
    <x:col min="4" max="4" width="27" hidden="0" customWidth="1"/>
    <x:col min="5" max="5" width="31" hidden="0" customWidth="1"/>
    <x:col min="6" max="6" width="13" hidden="0" customWidth="1"/>
    <x:col min="7" max="7" width="13" hidden="0" customWidth="1"/>
    <x:col min="8" max="8" width="11" hidden="0" customWidth="1"/>
    <x:col min="9" max="9" width="16" hidden="0" customWidth="1"/>
    <x:col min="10" max="10" width="11" hidden="0" customWidth="1"/>
    <x:col min="11" max="11" width="19" hidden="0" customWidth="1"/>
    <x:col min="12" max="12" width="24" hidden="0" customWidth="1"/>
    <x:col min="13" max="13" width="48" hidden="0" customWidth="1"/>
    <x:col min="14" max="14" width="45" hidden="0" customWidth="1"/>
  </x:cols>
  <x:sheetData>
    <x:row r="1">
      <x:c r="A1" s="88" t="str">
        <x:v>순위</x:v>
      </x:c>
      <x:c r="B1" s="88" t="str">
        <x:v>ID</x:v>
      </x:c>
      <x:c r="C1" s="88" t="str">
        <x:v>소싱군</x:v>
      </x:c>
      <x:c r="D1" s="88" t="str">
        <x:v>업체명</x:v>
      </x:c>
      <x:c r="E1" s="88" t="str">
        <x:v>상품</x:v>
      </x:c>
      <x:c r="F1" s="88" t="str">
        <x:v>Supplier Fit</x:v>
      </x:c>
      <x:c r="G1" s="88" t="str">
        <x:v>AEO 기회</x:v>
      </x:c>
      <x:c r="H1" s="88" t="str">
        <x:v>신뢰도</x:v>
      </x:c>
      <x:c r="I1" s="88" t="str">
        <x:v>Expansion Score</x:v>
      </x:c>
      <x:c r="J1" s="88" t="str">
        <x:v>등급</x:v>
      </x:c>
      <x:c r="K1" s="88" t="str">
        <x:v>업체 유형</x:v>
      </x:c>
      <x:c r="L1" s="88" t="str">
        <x:v>검증상태</x:v>
      </x:c>
      <x:c r="M1" s="88" t="str">
        <x:v>추천 접근각도</x:v>
      </x:c>
      <x:c r="N1" s="88" t="str">
        <x:v>URL</x:v>
      </x:c>
    </x:row>
    <x:row r="2">
      <x:c r="A2" s="14" t="n">
        <x:v>1</x:v>
      </x:c>
      <x:c r="B2" s="14" t="str">
        <x:v>EXP-095</x:v>
      </x:c>
      <x:c r="C2" s="14" t="str">
        <x:v>S10</x:v>
      </x:c>
      <x:c r="D2" s="14" t="str">
        <x:v>이지데코</x:v>
      </x:c>
      <x:c r="E2" s="14" t="str">
        <x:v>놀이·퍼걸러·벤치·자전거보관</x:v>
      </x:c>
      <x:c r="F2" s="14" t="n">
        <x:v>95</x:v>
      </x:c>
      <x:c r="G2" s="14" t="n">
        <x:v>78</x:v>
      </x:c>
      <x:c r="H2" s="14" t="n">
        <x:v>5</x:v>
      </x:c>
      <x:c r="I2" s="14" t="n">
        <x:v>91</x:v>
      </x:c>
      <x:c r="J2" s="14" t="str">
        <x:v>E-A</x:v>
      </x:c>
      <x:c r="K2" s="14" t="str">
        <x:v>시설물 제조·시공</x:v>
      </x:c>
      <x:c r="L2" s="14" t="str">
        <x:v>공식사이트 확인</x:v>
      </x:c>
      <x:c r="M2" s="14" t="str">
        <x:v>멀티카테고리 시설물 공급</x:v>
      </x:c>
      <x:c r="N2" s="14" t="str">
        <x:v>https://www.ezpark.kr/sub01_4.html</x:v>
      </x:c>
    </x:row>
    <x:row r="3">
      <x:c r="A3" s="14" t="n">
        <x:v>2</x:v>
      </x:c>
      <x:c r="B3" s="14" t="str">
        <x:v>EXP-005</x:v>
      </x:c>
      <x:c r="C3" s="14" t="str">
        <x:v>S01</x:v>
      </x:c>
      <x:c r="D3" s="14" t="str">
        <x:v>영신철망</x:v>
      </x:c>
      <x:c r="E3" s="14" t="str">
        <x:v>철망·휀스</x:v>
      </x:c>
      <x:c r="F3" s="14" t="n">
        <x:v>94</x:v>
      </x:c>
      <x:c r="G3" s="14" t="n">
        <x:v>78</x:v>
      </x:c>
      <x:c r="H3" s="14" t="n">
        <x:v>5</x:v>
      </x:c>
      <x:c r="I3" s="14" t="n">
        <x:v>90</x:v>
      </x:c>
      <x:c r="J3" s="14" t="str">
        <x:v>E-A</x:v>
      </x:c>
      <x:c r="K3" s="14" t="str">
        <x:v>직접제조·판매</x:v>
      </x:c>
      <x:c r="L3" s="14" t="str">
        <x:v>공식 연락처 확인</x:v>
      </x:c>
      <x:c r="M3" s="14" t="str">
        <x:v>제조사 직공급·전원주택용 SKU 재구성</x:v>
      </x:c>
      <x:c r="N3" s="14" t="str">
        <x:v>https://www.yeswire.co.kr/</x:v>
      </x:c>
    </x:row>
    <x:row r="4">
      <x:c r="A4" s="14" t="n">
        <x:v>3</x:v>
      </x:c>
      <x:c r="B4" s="14" t="str">
        <x:v>EXP-033</x:v>
      </x:c>
      <x:c r="C4" s="14" t="str">
        <x:v>S04</x:v>
      </x:c>
      <x:c r="D4" s="14" t="str">
        <x:v>셀링스시스템</x:v>
      </x:c>
      <x:c r="E4" s="14" t="str">
        <x:v>IP카메라·카메라모듈</x:v>
      </x:c>
      <x:c r="F4" s="14" t="n">
        <x:v>95</x:v>
      </x:c>
      <x:c r="G4" s="14" t="n">
        <x:v>72</x:v>
      </x:c>
      <x:c r="H4" s="14" t="n">
        <x:v>5</x:v>
      </x:c>
      <x:c r="I4" s="14" t="n">
        <x:v>89</x:v>
      </x:c>
      <x:c r="J4" s="14" t="str">
        <x:v>E-A</x:v>
      </x:c>
      <x:c r="K4" s="14" t="str">
        <x:v>R&amp;D·제조</x:v>
      </x:c>
      <x:c r="L4" s="14" t="str">
        <x:v>공식사이트 확인</x:v>
      </x:c>
      <x:c r="M4" s="14" t="str">
        <x:v>주택용 카메라 OEM/ODM 가능성</x:v>
      </x:c>
      <x:c r="N4" s="14" t="str">
        <x:v>https://www.cellinx.co.kr/</x:v>
      </x:c>
    </x:row>
    <x:row r="5">
      <x:c r="A5" s="14" t="n">
        <x:v>4</x:v>
      </x:c>
      <x:c r="B5" s="14" t="str">
        <x:v>EXP-100</x:v>
      </x:c>
      <x:c r="C5" s="14" t="str">
        <x:v>S10</x:v>
      </x:c>
      <x:c r="D5" s="14" t="str">
        <x:v>다은네이처</x:v>
      </x:c>
      <x:c r="E5" s="14" t="str">
        <x:v>차양·자전거보관·펜스·벤치·퍼걸러</x:v>
      </x:c>
      <x:c r="F5" s="14" t="n">
        <x:v>94</x:v>
      </x:c>
      <x:c r="G5" s="14" t="n">
        <x:v>86</x:v>
      </x:c>
      <x:c r="H5" s="14" t="n">
        <x:v>4</x:v>
      </x:c>
      <x:c r="I5" s="14" t="n">
        <x:v>89</x:v>
      </x:c>
      <x:c r="J5" s="14" t="str">
        <x:v>E-A</x:v>
      </x:c>
      <x:c r="K5" s="14" t="str">
        <x:v>시설물 제조</x:v>
      </x:c>
      <x:c r="L5" s="14" t="str">
        <x:v>공식사이트/기업정보 확인</x:v>
      </x:c>
      <x:c r="M5" s="14" t="str">
        <x:v>펫/키즈/휴게시설 멀티공급</x:v>
      </x:c>
      <x:c r="N5" s="14" t="str">
        <x:v>http://dnnature.com/</x:v>
      </x:c>
    </x:row>
    <x:row r="6">
      <x:c r="A6" s="14" t="n">
        <x:v>5</x:v>
      </x:c>
      <x:c r="B6" s="14" t="str">
        <x:v>EXP-066</x:v>
      </x:c>
      <x:c r="C6" s="14" t="str">
        <x:v>S07</x:v>
      </x:c>
      <x:c r="D6" s="14" t="str">
        <x:v>계림조경자재</x:v>
      </x:c>
      <x:c r="E6" s="14" t="str">
        <x:v>조경·정원자재</x:v>
      </x:c>
      <x:c r="F6" s="14" t="n">
        <x:v>94</x:v>
      </x:c>
      <x:c r="G6" s="14" t="n">
        <x:v>74</x:v>
      </x:c>
      <x:c r="H6" s="14" t="n">
        <x:v>5</x:v>
      </x:c>
      <x:c r="I6" s="14" t="n">
        <x:v>89</x:v>
      </x:c>
      <x:c r="J6" s="14" t="str">
        <x:v>E-A</x:v>
      </x:c>
      <x:c r="K6" s="14" t="str">
        <x:v>개발·생산·판매</x:v>
      </x:c>
      <x:c r="L6" s="14" t="str">
        <x:v>공식사이트 확인</x:v>
      </x:c>
      <x:c r="M6" s="14" t="str">
        <x:v>직접생산 자재 PB/OEM 가능성</x:v>
      </x:c>
      <x:c r="N6" s="14" t="str">
        <x:v>https://ke-lim.com/bbs/content.php?co_id=company&amp;device=pc</x:v>
      </x:c>
    </x:row>
    <x:row r="7">
      <x:c r="A7" s="14" t="n">
        <x:v>6</x:v>
      </x:c>
      <x:c r="B7" s="14" t="str">
        <x:v>EXP-094</x:v>
      </x:c>
      <x:c r="C7" s="14" t="str">
        <x:v>S10</x:v>
      </x:c>
      <x:c r="D7" s="14" t="str">
        <x:v>용우테크</x:v>
      </x:c>
      <x:c r="E7" s="14" t="str">
        <x:v>놀이·조경·야외운동시설</x:v>
      </x:c>
      <x:c r="F7" s="14" t="n">
        <x:v>94</x:v>
      </x:c>
      <x:c r="G7" s="14" t="n">
        <x:v>74</x:v>
      </x:c>
      <x:c r="H7" s="14" t="n">
        <x:v>5</x:v>
      </x:c>
      <x:c r="I7" s="14" t="n">
        <x:v>89</x:v>
      </x:c>
      <x:c r="J7" s="14" t="str">
        <x:v>E-A</x:v>
      </x:c>
      <x:c r="K7" s="14" t="str">
        <x:v>제조·시공</x:v>
      </x:c>
      <x:c r="L7" s="14" t="str">
        <x:v>공식사이트 확인</x:v>
      </x:c>
      <x:c r="M7" s="14" t="str">
        <x:v>마당형 놀이/운동 시설 큐레이션</x:v>
      </x:c>
      <x:c r="N7" s="14" t="str">
        <x:v>https://www.kidssafe.co.kr/</x:v>
      </x:c>
    </x:row>
    <x:row r="8">
      <x:c r="A8" s="14" t="n">
        <x:v>7</x:v>
      </x:c>
      <x:c r="B8" s="14" t="str">
        <x:v>EXP-092</x:v>
      </x:c>
      <x:c r="C8" s="14" t="str">
        <x:v>S10</x:v>
      </x:c>
      <x:c r="D8" s="14" t="str">
        <x:v>한국공원체육산업</x:v>
      </x:c>
      <x:c r="E8" s="14" t="str">
        <x:v>놀이·체육시설·탄성포장</x:v>
      </x:c>
      <x:c r="F8" s="14" t="n">
        <x:v>94</x:v>
      </x:c>
      <x:c r="G8" s="14" t="n">
        <x:v>72</x:v>
      </x:c>
      <x:c r="H8" s="14" t="n">
        <x:v>5</x:v>
      </x:c>
      <x:c r="I8" s="14" t="n">
        <x:v>89</x:v>
      </x:c>
      <x:c r="J8" s="14" t="str">
        <x:v>E-A</x:v>
      </x:c>
      <x:c r="K8" s="14" t="str">
        <x:v>제조·시공</x:v>
      </x:c>
      <x:c r="L8" s="14" t="str">
        <x:v>공식사이트 확인</x:v>
      </x:c>
      <x:c r="M8" s="14" t="str">
        <x:v>타운하우스·펜션 B2B + 소형놀이</x:v>
      </x:c>
      <x:c r="N8" s="14" t="str">
        <x:v>https://www.krpark.co.kr/</x:v>
      </x:c>
    </x:row>
    <x:row r="9">
      <x:c r="A9" s="14" t="n">
        <x:v>8</x:v>
      </x:c>
      <x:c r="B9" s="14" t="str">
        <x:v>EXP-029</x:v>
      </x:c>
      <x:c r="C9" s="14" t="str">
        <x:v>S03</x:v>
      </x:c>
      <x:c r="D9" s="14" t="str">
        <x:v>동산테크</x:v>
      </x:c>
      <x:c r="E9" s="14" t="str">
        <x:v>무인택배함</x:v>
      </x:c>
      <x:c r="F9" s="14" t="n">
        <x:v>94</x:v>
      </x:c>
      <x:c r="G9" s="14" t="n">
        <x:v>70</x:v>
      </x:c>
      <x:c r="H9" s="14" t="n">
        <x:v>5</x:v>
      </x:c>
      <x:c r="I9" s="14" t="n">
        <x:v>88</x:v>
      </x:c>
      <x:c r="J9" s="14" t="str">
        <x:v>E-A</x:v>
      </x:c>
      <x:c r="K9" s="14" t="str">
        <x:v>제조·시스템</x:v>
      </x:c>
      <x:c r="L9" s="14" t="str">
        <x:v>공식사이트 확인</x:v>
      </x:c>
      <x:c r="M9" s="14" t="str">
        <x:v>스마트 택배함 소형화 제안</x:v>
      </x:c>
      <x:c r="N9" s="14" t="str">
        <x:v>https://ds-technology.co.kr/sub/sub02_10.php</x:v>
      </x:c>
    </x:row>
    <x:row r="10">
      <x:c r="A10" s="14" t="n">
        <x:v>9</x:v>
      </x:c>
      <x:c r="B10" s="14" t="str">
        <x:v>EXP-062</x:v>
      </x:c>
      <x:c r="C10" s="14" t="str">
        <x:v>S07</x:v>
      </x:c>
      <x:c r="D10" s="14" t="str">
        <x:v>(주)성하 / SignalTree</x:v>
      </x:c>
      <x:c r="E10" s="14" t="str">
        <x:v>IoT 수목·관수</x:v>
      </x:c>
      <x:c r="F10" s="14" t="n">
        <x:v>93</x:v>
      </x:c>
      <x:c r="G10" s="14" t="n">
        <x:v>72</x:v>
      </x:c>
      <x:c r="H10" s="14" t="n">
        <x:v>5</x:v>
      </x:c>
      <x:c r="I10" s="14" t="n">
        <x:v>88</x:v>
      </x:c>
      <x:c r="J10" s="14" t="str">
        <x:v>E-A</x:v>
      </x:c>
      <x:c r="K10" s="14" t="str">
        <x:v>IoT·시스템</x:v>
      </x:c>
      <x:c r="L10" s="14" t="str">
        <x:v>공식사이트 확인</x:v>
      </x:c>
      <x:c r="M10" s="14" t="str">
        <x:v>프리미엄 스마트정원 차별화 상품</x:v>
      </x:c>
      <x:c r="N10" s="14" t="str">
        <x:v>https://www.signaltree.kr/</x:v>
      </x:c>
    </x:row>
    <x:row r="11">
      <x:c r="A11" s="14" t="n">
        <x:v>10</x:v>
      </x:c>
      <x:c r="B11" s="14" t="str">
        <x:v>EXP-086</x:v>
      </x:c>
      <x:c r="C11" s="14" t="str">
        <x:v>S09</x:v>
      </x:c>
      <x:c r="D11" s="14" t="str">
        <x:v>벨츠에너지 / 헵시바</x:v>
      </x:c>
      <x:c r="E11" s="14" t="str">
        <x:v>태양광 시스템·소형에너지</x:v>
      </x:c>
      <x:c r="F11" s="14" t="n">
        <x:v>93</x:v>
      </x:c>
      <x:c r="G11" s="14" t="n">
        <x:v>72</x:v>
      </x:c>
      <x:c r="H11" s="14" t="n">
        <x:v>5</x:v>
      </x:c>
      <x:c r="I11" s="14" t="n">
        <x:v>88</x:v>
      </x:c>
      <x:c r="J11" s="14" t="str">
        <x:v>E-A</x:v>
      </x:c>
      <x:c r="K11" s="14" t="str">
        <x:v>설계·제조·시공</x:v>
      </x:c>
      <x:c r="L11" s="14" t="str">
        <x:v>공식사이트 확인</x:v>
      </x:c>
      <x:c r="M11" s="14" t="str">
        <x:v>주택 태양광 원스톱 패키지</x:v>
      </x:c>
      <x:c r="N11" s="14" t="str">
        <x:v>https://www.windrex.co.kr/sub1_2.php</x:v>
      </x:c>
    </x:row>
    <x:row r="12">
      <x:c r="A12" s="14" t="n">
        <x:v>11</x:v>
      </x:c>
      <x:c r="B12" s="14" t="str">
        <x:v>EXP-001</x:v>
      </x:c>
      <x:c r="C12" s="14" t="str">
        <x:v>S01</x:v>
      </x:c>
      <x:c r="D12" s="14" t="str">
        <x:v>효성게이트</x:v>
      </x:c>
      <x:c r="E12" s="14" t="str">
        <x:v>자동대문·차고문·게이트</x:v>
      </x:c>
      <x:c r="F12" s="14" t="n">
        <x:v>92</x:v>
      </x:c>
      <x:c r="G12" s="14" t="n">
        <x:v>72</x:v>
      </x:c>
      <x:c r="H12" s="14" t="n">
        <x:v>5</x:v>
      </x:c>
      <x:c r="I12" s="14" t="n">
        <x:v>88</x:v>
      </x:c>
      <x:c r="J12" s="14" t="str">
        <x:v>E-A</x:v>
      </x:c>
      <x:c r="K12" s="14" t="str">
        <x:v>제작·설치</x:v>
      </x:c>
      <x:c r="L12" s="14" t="str">
        <x:v>공식사이트 확인</x:v>
      </x:c>
      <x:c r="M12" s="14" t="str">
        <x:v>전원주택 게이트·차고문 묶음 견적 제휴</x:v>
      </x:c>
      <x:c r="N12" s="14" t="str">
        <x:v>https://www.hyosunggate.com/</x:v>
      </x:c>
    </x:row>
    <x:row r="13">
      <x:c r="A13" s="14" t="n">
        <x:v>12</x:v>
      </x:c>
      <x:c r="B13" s="14" t="str">
        <x:v>EXP-067</x:v>
      </x:c>
      <x:c r="C13" s="14" t="str">
        <x:v>S07</x:v>
      </x:c>
      <x:c r="D13" s="14" t="str">
        <x:v>큐빅스(Qubics)</x:v>
      </x:c>
      <x:c r="E13" s="14" t="str">
        <x:v>스마트 자동관수</x:v>
      </x:c>
      <x:c r="F13" s="14" t="n">
        <x:v>92</x:v>
      </x:c>
      <x:c r="G13" s="14" t="n">
        <x:v>72</x:v>
      </x:c>
      <x:c r="H13" s="14" t="n">
        <x:v>5</x:v>
      </x:c>
      <x:c r="I13" s="14" t="n">
        <x:v>88</x:v>
      </x:c>
      <x:c r="J13" s="14" t="str">
        <x:v>E-A</x:v>
      </x:c>
      <x:c r="K13" s="14" t="str">
        <x:v>IoT 솔루션</x:v>
      </x:c>
      <x:c r="L13" s="14" t="str">
        <x:v>공식사이트 확인</x:v>
      </x:c>
      <x:c r="M13" s="14" t="str">
        <x:v>RHINORY 스마트정원 패키지</x:v>
      </x:c>
      <x:c r="N13" s="14" t="str">
        <x:v>https://www.qubics.kr/index.php/menu-iotsolution/auto-watering/</x:v>
      </x:c>
    </x:row>
    <x:row r="14">
      <x:c r="A14" s="14" t="n">
        <x:v>13</x:v>
      </x:c>
      <x:c r="B14" s="14" t="str">
        <x:v>EXP-021</x:v>
      </x:c>
      <x:c r="C14" s="14" t="str">
        <x:v>S03</x:v>
      </x:c>
      <x:c r="D14" s="14" t="str">
        <x:v>동광뉴텍</x:v>
      </x:c>
      <x:c r="E14" s="14" t="str">
        <x:v>철제사물함·코인락커</x:v>
      </x:c>
      <x:c r="F14" s="14" t="n">
        <x:v>90</x:v>
      </x:c>
      <x:c r="G14" s="14" t="n">
        <x:v>76</x:v>
      </x:c>
      <x:c r="H14" s="14" t="n">
        <x:v>5</x:v>
      </x:c>
      <x:c r="I14" s="14" t="n">
        <x:v>88</x:v>
      </x:c>
      <x:c r="J14" s="14" t="str">
        <x:v>E-A</x:v>
      </x:c>
      <x:c r="K14" s="14" t="str">
        <x:v>제조</x:v>
      </x:c>
      <x:c r="L14" s="14" t="str">
        <x:v>공식사이트 확인</x:v>
      </x:c>
      <x:c r="M14" s="14" t="str">
        <x:v>야외/택배보관형 커스텀 OEM 문의</x:v>
      </x:c>
      <x:c r="N14" s="14" t="str">
        <x:v>https://www.dknt.co.kr/</x:v>
      </x:c>
    </x:row>
    <x:row r="15">
      <x:c r="A15" s="14" t="n">
        <x:v>14</x:v>
      </x:c>
      <x:c r="B15" s="14" t="str">
        <x:v>EXP-032</x:v>
      </x:c>
      <x:c r="C15" s="14" t="str">
        <x:v>S04</x:v>
      </x:c>
      <x:c r="D15" s="14" t="str">
        <x:v>원우이엔지</x:v>
      </x:c>
      <x:c r="E15" s="14" t="str">
        <x:v>CCTV 카메라</x:v>
      </x:c>
      <x:c r="F15" s="14" t="n">
        <x:v>97</x:v>
      </x:c>
      <x:c r="G15" s="14" t="n">
        <x:v>62</x:v>
      </x:c>
      <x:c r="H15" s="14" t="n">
        <x:v>5</x:v>
      </x:c>
      <x:c r="I15" s="14" t="n">
        <x:v>87</x:v>
      </x:c>
      <x:c r="J15" s="14" t="str">
        <x:v>E-A</x:v>
      </x:c>
      <x:c r="K15" s="14" t="str">
        <x:v>제조·판매</x:v>
      </x:c>
      <x:c r="L15" s="14" t="str">
        <x:v>공식사이트/이메일 확인</x:v>
      </x:c>
      <x:c r="M15" s="14" t="str">
        <x:v>국내제조 주택 CCTV 세트 구성</x:v>
      </x:c>
      <x:c r="N15" s="14" t="str">
        <x:v>https://www.wonwoo.com/</x:v>
      </x:c>
    </x:row>
    <x:row r="16">
      <x:c r="A16" s="14" t="n">
        <x:v>15</x:v>
      </x:c>
      <x:c r="B16" s="14" t="str">
        <x:v>EXP-075</x:v>
      </x:c>
      <x:c r="C16" s="14" t="str">
        <x:v>S08</x:v>
      </x:c>
      <x:c r="D16" s="14" t="str">
        <x:v>성화제작소 / (주)성화</x:v>
      </x:c>
      <x:c r="E16" s="14" t="str">
        <x:v>고압·스팀·초고압세척</x:v>
      </x:c>
      <x:c r="F16" s="14" t="n">
        <x:v>97</x:v>
      </x:c>
      <x:c r="G16" s="14" t="n">
        <x:v>62</x:v>
      </x:c>
      <x:c r="H16" s="14" t="n">
        <x:v>5</x:v>
      </x:c>
      <x:c r="I16" s="14" t="n">
        <x:v>87</x:v>
      </x:c>
      <x:c r="J16" s="14" t="str">
        <x:v>E-A</x:v>
      </x:c>
      <x:c r="K16" s="14" t="str">
        <x:v>제조</x:v>
      </x:c>
      <x:c r="L16" s="14" t="str">
        <x:v>공식사이트 확인</x:v>
      </x:c>
      <x:c r="M16" s="14" t="str">
        <x:v>외벽·데크·바닥 관리 장비 공급</x:v>
      </x:c>
      <x:c r="N16" s="14" t="str">
        <x:v>https://www.shinc.co.kr/</x:v>
      </x:c>
    </x:row>
    <x:row r="17">
      <x:c r="A17" s="14" t="n">
        <x:v>16</x:v>
      </x:c>
      <x:c r="B17" s="14" t="str">
        <x:v>EXP-082</x:v>
      </x:c>
      <x:c r="C17" s="14" t="str">
        <x:v>S09</x:v>
      </x:c>
      <x:c r="D17" s="14" t="str">
        <x:v>이노일렉트릭</x:v>
      </x:c>
      <x:c r="E17" s="14" t="str">
        <x:v>주택용 태양광 인버터</x:v>
      </x:c>
      <x:c r="F17" s="14" t="n">
        <x:v>96</x:v>
      </x:c>
      <x:c r="G17" s="14" t="n">
        <x:v>78</x:v>
      </x:c>
      <x:c r="H17" s="14" t="n">
        <x:v>4</x:v>
      </x:c>
      <x:c r="I17" s="14" t="n">
        <x:v>87</x:v>
      </x:c>
      <x:c r="J17" s="14" t="str">
        <x:v>E-A</x:v>
      </x:c>
      <x:c r="K17" s="14" t="str">
        <x:v>개발·제조</x:v>
      </x:c>
      <x:c r="L17" s="14" t="str">
        <x:v>산업자료 확인</x:v>
      </x:c>
      <x:c r="M17" s="14" t="str">
        <x:v>국내제조 주택용 인버터 핵심 후보</x:v>
      </x:c>
      <x:c r="N17" s="14" t="str">
        <x:v>https://www.solartodaymag.com/news/articleView.html?idxno=20176</x:v>
      </x:c>
    </x:row>
    <x:row r="18">
      <x:c r="A18" s="14" t="n">
        <x:v>17</x:v>
      </x:c>
      <x:c r="B18" s="14" t="str">
        <x:v>EXP-053</x:v>
      </x:c>
      <x:c r="C18" s="14" t="str">
        <x:v>S06</x:v>
      </x:c>
      <x:c r="D18" s="14" t="str">
        <x:v>극동무공</x:v>
      </x:c>
      <x:c r="E18" s="14" t="str">
        <x:v>수영장 수처리·스파·사우나</x:v>
      </x:c>
      <x:c r="F18" s="14" t="n">
        <x:v>95</x:v>
      </x:c>
      <x:c r="G18" s="14" t="n">
        <x:v>66</x:v>
      </x:c>
      <x:c r="H18" s="14" t="n">
        <x:v>5</x:v>
      </x:c>
      <x:c r="I18" s="14" t="n">
        <x:v>87</x:v>
      </x:c>
      <x:c r="J18" s="14" t="str">
        <x:v>E-A</x:v>
      </x:c>
      <x:c r="K18" s="14" t="str">
        <x:v>제조·수입·시공</x:v>
      </x:c>
      <x:c r="L18" s="14" t="str">
        <x:v>공식사이트 확인</x:v>
      </x:c>
      <x:c r="M18" s="14" t="str">
        <x:v>장비+시공 통합 공급</x:v>
      </x:c>
      <x:c r="N18" s="14" t="str">
        <x:v>https://kdsauna.com/</x:v>
      </x:c>
    </x:row>
    <x:row r="19">
      <x:c r="A19" s="14" t="n">
        <x:v>18</x:v>
      </x:c>
      <x:c r="B19" s="14" t="str">
        <x:v>EXP-056</x:v>
      </x:c>
      <x:c r="C19" s="14" t="str">
        <x:v>S06</x:v>
      </x:c>
      <x:c r="D19" s="14" t="str">
        <x:v>범우티엔씨</x:v>
      </x:c>
      <x:c r="E19" s="14" t="str">
        <x:v>수영장 설비·시공</x:v>
      </x:c>
      <x:c r="F19" s="14" t="n">
        <x:v>95</x:v>
      </x:c>
      <x:c r="G19" s="14" t="n">
        <x:v>64</x:v>
      </x:c>
      <x:c r="H19" s="14" t="n">
        <x:v>5</x:v>
      </x:c>
      <x:c r="I19" s="14" t="n">
        <x:v>87</x:v>
      </x:c>
      <x:c r="J19" s="14" t="str">
        <x:v>E-A</x:v>
      </x:c>
      <x:c r="K19" s="14" t="str">
        <x:v>전문시공</x:v>
      </x:c>
      <x:c r="L19" s="14" t="str">
        <x:v>공식사이트 확인</x:v>
      </x:c>
      <x:c r="M19" s="14" t="str">
        <x:v>전원주택 수영장 견적리드</x:v>
      </x:c>
      <x:c r="N19" s="14" t="str">
        <x:v>https://www.ebumwoo.co.kr/</x:v>
      </x:c>
    </x:row>
    <x:row r="20">
      <x:c r="A20" s="14" t="n">
        <x:v>19</x:v>
      </x:c>
      <x:c r="B20" s="14" t="str">
        <x:v>EXP-059</x:v>
      </x:c>
      <x:c r="C20" s="14" t="str">
        <x:v>S06</x:v>
      </x:c>
      <x:c r="D20" s="14" t="str">
        <x:v>테라피아엔지</x:v>
      </x:c>
      <x:c r="E20" s="14" t="str">
        <x:v>수영장·워터파크·사우나 수처리</x:v>
      </x:c>
      <x:c r="F20" s="14" t="n">
        <x:v>94</x:v>
      </x:c>
      <x:c r="G20" s="14" t="n">
        <x:v>80</x:v>
      </x:c>
      <x:c r="H20" s="14" t="n">
        <x:v>4</x:v>
      </x:c>
      <x:c r="I20" s="14" t="n">
        <x:v>87</x:v>
      </x:c>
      <x:c r="J20" s="14" t="str">
        <x:v>E-A</x:v>
      </x:c>
      <x:c r="K20" s="14" t="str">
        <x:v>설비·엔지니어링</x:v>
      </x:c>
      <x:c r="L20" s="14" t="str">
        <x:v>공식사이트 확인</x:v>
      </x:c>
      <x:c r="M20" s="14" t="str">
        <x:v>설비 공급 및 유지관리 상품화</x:v>
      </x:c>
      <x:c r="N20" s="14" t="str">
        <x:v>https://therapiaeng.com/sub/sub2_3.php</x:v>
      </x:c>
    </x:row>
    <x:row r="21">
      <x:c r="A21" s="14" t="n">
        <x:v>20</x:v>
      </x:c>
      <x:c r="B21" s="14" t="str">
        <x:v>EXP-007</x:v>
      </x:c>
      <x:c r="C21" s="14" t="str">
        <x:v>S01</x:v>
      </x:c>
      <x:c r="D21" s="14" t="str">
        <x:v>영성산업</x:v>
      </x:c>
      <x:c r="E21" s="14" t="str">
        <x:v>용접철망·메쉬휀스</x:v>
      </x:c>
      <x:c r="F21" s="14" t="n">
        <x:v>94</x:v>
      </x:c>
      <x:c r="G21" s="14" t="n">
        <x:v>68</x:v>
      </x:c>
      <x:c r="H21" s="14" t="n">
        <x:v>5</x:v>
      </x:c>
      <x:c r="I21" s="14" t="n">
        <x:v>87</x:v>
      </x:c>
      <x:c r="J21" s="14" t="str">
        <x:v>E-A</x:v>
      </x:c>
      <x:c r="K21" s="14" t="str">
        <x:v>제조</x:v>
      </x:c>
      <x:c r="L21" s="14" t="str">
        <x:v>공식사이트 확인</x:v>
      </x:c>
      <x:c r="M21" s="14" t="str">
        <x:v>B2B 제조제품을 주택용 규격으로 큐레이션</x:v>
      </x:c>
      <x:c r="N21" s="14" t="str">
        <x:v>https://youngseong.co.kr/product06/</x:v>
      </x:c>
    </x:row>
    <x:row r="22">
      <x:c r="A22" s="14" t="n">
        <x:v>21</x:v>
      </x:c>
      <x:c r="B22" s="14" t="str">
        <x:v>EXP-011</x:v>
      </x:c>
      <x:c r="C22" s="14" t="str">
        <x:v>S02</x:v>
      </x:c>
      <x:c r="D22" s="14" t="str">
        <x:v>캐노텍</x:v>
      </x:c>
      <x:c r="E22" s="14" t="str">
        <x:v>카포트·주차 캐노피</x:v>
      </x:c>
      <x:c r="F22" s="14" t="n">
        <x:v>94</x:v>
      </x:c>
      <x:c r="G22" s="14" t="n">
        <x:v>68</x:v>
      </x:c>
      <x:c r="H22" s="14" t="n">
        <x:v>5</x:v>
      </x:c>
      <x:c r="I22" s="14" t="n">
        <x:v>87</x:v>
      </x:c>
      <x:c r="J22" s="14" t="str">
        <x:v>E-A</x:v>
      </x:c>
      <x:c r="K22" s="14" t="str">
        <x:v>설계·제작·설치</x:v>
      </x:c>
      <x:c r="L22" s="14" t="str">
        <x:v>공식사이트 확인</x:v>
      </x:c>
      <x:c r="M22" s="14" t="str">
        <x:v>전원주택 카포트 표준/맞춤 상품화</x:v>
      </x:c>
      <x:c r="N22" s="14" t="str">
        <x:v>https://canotec.co.kr/</x:v>
      </x:c>
    </x:row>
    <x:row r="23">
      <x:c r="A23" s="14" t="n">
        <x:v>22</x:v>
      </x:c>
      <x:c r="B23" s="14" t="str">
        <x:v>EXP-040</x:v>
      </x:c>
      <x:c r="C23" s="14" t="str">
        <x:v>S04</x:v>
      </x:c>
      <x:c r="D23" s="14" t="str">
        <x:v>스마텍전자</x:v>
      </x:c>
      <x:c r="E23" s="14" t="str">
        <x:v>스마트홈 컨트롤·OEM/ODM</x:v>
      </x:c>
      <x:c r="F23" s="14" t="n">
        <x:v>94</x:v>
      </x:c>
      <x:c r="G23" s="14" t="n">
        <x:v>66</x:v>
      </x:c>
      <x:c r="H23" s="14" t="n">
        <x:v>5</x:v>
      </x:c>
      <x:c r="I23" s="14" t="n">
        <x:v>87</x:v>
      </x:c>
      <x:c r="J23" s="14" t="str">
        <x:v>E-A</x:v>
      </x:c>
      <x:c r="K23" s="14" t="str">
        <x:v>OEM·ODM</x:v>
      </x:c>
      <x:c r="L23" s="14" t="str">
        <x:v>공식사이트 확인</x:v>
      </x:c>
      <x:c r="M23" s="14" t="str">
        <x:v>RHINORY 스마트홈 PB/ODM</x:v>
      </x:c>
      <x:c r="N23" s="14" t="str">
        <x:v>https://smatek.com/ko/oem-odm-services/</x:v>
      </x:c>
    </x:row>
    <x:row r="24">
      <x:c r="A24" s="14" t="n">
        <x:v>23</x:v>
      </x:c>
      <x:c r="B24" s="14" t="str">
        <x:v>EXP-043</x:v>
      </x:c>
      <x:c r="C24" s="14" t="str">
        <x:v>S05</x:v>
      </x:c>
      <x:c r="D24" s="14" t="str">
        <x:v>넥스트루버</x:v>
      </x:c>
      <x:c r="E24" s="14" t="str">
        <x:v>시스템퍼골라·루버</x:v>
      </x:c>
      <x:c r="F24" s="14" t="n">
        <x:v>92</x:v>
      </x:c>
      <x:c r="G24" s="14" t="n">
        <x:v>82</x:v>
      </x:c>
      <x:c r="H24" s="14" t="n">
        <x:v>4</x:v>
      </x:c>
      <x:c r="I24" s="14" t="n">
        <x:v>87</x:v>
      </x:c>
      <x:c r="J24" s="14" t="str">
        <x:v>E-A</x:v>
      </x:c>
      <x:c r="K24" s="14" t="str">
        <x:v>제작·시공</x:v>
      </x:c>
      <x:c r="L24" s="14" t="str">
        <x:v>공식사이트 확인</x:v>
      </x:c>
      <x:c r="M24" s="14" t="str">
        <x:v>전원주택 파고라/루버 묶음</x:v>
      </x:c>
      <x:c r="N24" s="14" t="str">
        <x:v>https://nextlouver.com/파고라루바-시스템파고라-합성목재루바-시공사례/</x:v>
      </x:c>
    </x:row>
    <x:row r="25">
      <x:c r="A25" s="14" t="n">
        <x:v>24</x:v>
      </x:c>
      <x:c r="B25" s="14" t="str">
        <x:v>EXP-020</x:v>
      </x:c>
      <x:c r="C25" s="14" t="str">
        <x:v>S02</x:v>
      </x:c>
      <x:c r="D25" s="14" t="str">
        <x:v>제이엔코(JENCO)</x:v>
      </x:c>
      <x:c r="E25" s="14" t="str">
        <x:v>태양광 주차장·EV 연계</x:v>
      </x:c>
      <x:c r="F25" s="14" t="n">
        <x:v>92</x:v>
      </x:c>
      <x:c r="G25" s="14" t="n">
        <x:v>70</x:v>
      </x:c>
      <x:c r="H25" s="14" t="n">
        <x:v>5</x:v>
      </x:c>
      <x:c r="I25" s="14" t="n">
        <x:v>87</x:v>
      </x:c>
      <x:c r="J25" s="14" t="str">
        <x:v>E-A</x:v>
      </x:c>
      <x:c r="K25" s="14" t="str">
        <x:v>구조물 제작·설치</x:v>
      </x:c>
      <x:c r="L25" s="14" t="str">
        <x:v>공식사이트 확인</x:v>
      </x:c>
      <x:c r="M25" s="14" t="str">
        <x:v>카포트+태양광+EV충전 통합 제안</x:v>
      </x:c>
      <x:c r="N25" s="14" t="str">
        <x:v>https://jenco.co.kr/parking</x:v>
      </x:c>
    </x:row>
    <x:row r="26">
      <x:c r="A26" s="14" t="n">
        <x:v>25</x:v>
      </x:c>
      <x:c r="B26" s="14" t="str">
        <x:v>EXP-050</x:v>
      </x:c>
      <x:c r="C26" s="14" t="str">
        <x:v>S05</x:v>
      </x:c>
      <x:c r="D26" s="14" t="str">
        <x:v>(주)에코로</x:v>
      </x:c>
      <x:c r="E26" s="14" t="str">
        <x:v>WPC 합성데크</x:v>
      </x:c>
      <x:c r="F26" s="14" t="n">
        <x:v>96</x:v>
      </x:c>
      <x:c r="G26" s="14" t="n">
        <x:v>88</x:v>
      </x:c>
      <x:c r="H26" s="14" t="n">
        <x:v>3</x:v>
      </x:c>
      <x:c r="I26" s="14" t="n">
        <x:v>86</x:v>
      </x:c>
      <x:c r="J26" s="14" t="str">
        <x:v>E-B</x:v>
      </x:c>
      <x:c r="K26" s="14" t="str">
        <x:v>직접생산</x:v>
      </x:c>
      <x:c r="L26" s="14" t="str">
        <x:v>2차자료 확인</x:v>
      </x:c>
      <x:c r="M26" s="14" t="str">
        <x:v>제품력 대비 디지털 공백 큰 제조사 후보</x:v>
      </x:c>
      <x:c r="N26" s="14" t="str">
        <x:v>https://linkonbiz.com/product/8986</x:v>
      </x:c>
    </x:row>
    <x:row r="27">
      <x:c r="A27" s="14" t="n">
        <x:v>26</x:v>
      </x:c>
      <x:c r="B27" s="14" t="str">
        <x:v>EXP-022</x:v>
      </x:c>
      <x:c r="C27" s="14" t="str">
        <x:v>S03</x:v>
      </x:c>
      <x:c r="D27" s="14" t="str">
        <x:v>(주)헤드</x:v>
      </x:c>
      <x:c r="E27" s="14" t="str">
        <x:v>무인택배시스템</x:v>
      </x:c>
      <x:c r="F27" s="14" t="n">
        <x:v>95</x:v>
      </x:c>
      <x:c r="G27" s="14" t="n">
        <x:v>62</x:v>
      </x:c>
      <x:c r="H27" s="14" t="n">
        <x:v>5</x:v>
      </x:c>
      <x:c r="I27" s="14" t="n">
        <x:v>86</x:v>
      </x:c>
      <x:c r="J27" s="14" t="str">
        <x:v>E-A</x:v>
      </x:c>
      <x:c r="K27" s="14" t="str">
        <x:v>제조·시스템</x:v>
      </x:c>
      <x:c r="L27" s="14" t="str">
        <x:v>공식사이트 확인</x:v>
      </x:c>
      <x:c r="M27" s="14" t="str">
        <x:v>단독주택·타운하우스 소형 모델 개발</x:v>
      </x:c>
      <x:c r="N27" s="14" t="str">
        <x:v>https://www.hadatb.co.kr/</x:v>
      </x:c>
    </x:row>
    <x:row r="28">
      <x:c r="A28" s="14" t="n">
        <x:v>27</x:v>
      </x:c>
      <x:c r="B28" s="14" t="str">
        <x:v>EXP-051</x:v>
      </x:c>
      <x:c r="C28" s="14" t="str">
        <x:v>S06</x:v>
      </x:c>
      <x:c r="D28" s="14" t="str">
        <x:v>스토라지박스</x:v>
      </x:c>
      <x:c r="E28" s="14" t="str">
        <x:v>모듈 수영장·자쿠지</x:v>
      </x:c>
      <x:c r="F28" s="14" t="n">
        <x:v>94</x:v>
      </x:c>
      <x:c r="G28" s="14" t="n">
        <x:v>62</x:v>
      </x:c>
      <x:c r="H28" s="14" t="n">
        <x:v>5</x:v>
      </x:c>
      <x:c r="I28" s="14" t="n">
        <x:v>86</x:v>
      </x:c>
      <x:c r="J28" s="14" t="str">
        <x:v>E-A</x:v>
      </x:c>
      <x:c r="K28" s="14" t="str">
        <x:v>설계·시공</x:v>
      </x:c>
      <x:c r="L28" s="14" t="str">
        <x:v>공식사이트 확인</x:v>
      </x:c>
      <x:c r="M28" s="14" t="str">
        <x:v>전원주택 모듈풀 패키지</x:v>
      </x:c>
      <x:c r="N28" s="14" t="str">
        <x:v>https://storagebox.kr/</x:v>
      </x:c>
    </x:row>
    <x:row r="29">
      <x:c r="A29" s="14" t="n">
        <x:v>28</x:v>
      </x:c>
      <x:c r="B29" s="14" t="str">
        <x:v>EXP-023</x:v>
      </x:c>
      <x:c r="C29" s="14" t="str">
        <x:v>S03</x:v>
      </x:c>
      <x:c r="D29" s="14" t="str">
        <x:v>택배지킴이</x:v>
      </x:c>
      <x:c r="E29" s="14" t="str">
        <x:v>무인택배함·우편함</x:v>
      </x:c>
      <x:c r="F29" s="14" t="n">
        <x:v>93</x:v>
      </x:c>
      <x:c r="G29" s="14" t="n">
        <x:v>78</x:v>
      </x:c>
      <x:c r="H29" s="14" t="n">
        <x:v>4</x:v>
      </x:c>
      <x:c r="I29" s="14" t="n">
        <x:v>86</x:v>
      </x:c>
      <x:c r="J29" s="14" t="str">
        <x:v>E-A</x:v>
      </x:c>
      <x:c r="K29" s="14" t="str">
        <x:v>제작·판매</x:v>
      </x:c>
      <x:c r="L29" s="14" t="str">
        <x:v>공식사이트 확인</x:v>
      </x:c>
      <x:c r="M29" s="14" t="str">
        <x:v>RHINORY 전용 디자인 택배함</x:v>
      </x:c>
      <x:c r="N29" s="14" t="str">
        <x:v>https://xn--2h3b29rnxbp1l1f.com/</x:v>
      </x:c>
    </x:row>
    <x:row r="30">
      <x:c r="A30" s="14" t="n">
        <x:v>29</x:v>
      </x:c>
      <x:c r="B30" s="14" t="str">
        <x:v>EXP-002</x:v>
      </x:c>
      <x:c r="C30" s="14" t="str">
        <x:v>S01</x:v>
      </x:c>
      <x:c r="D30" s="14" t="str">
        <x:v>동진에이디</x:v>
      </x:c>
      <x:c r="E30" s="14" t="str">
        <x:v>맞춤 대문·슬라이딩/스윙게이트</x:v>
      </x:c>
      <x:c r="F30" s="14" t="n">
        <x:v>92</x:v>
      </x:c>
      <x:c r="G30" s="14" t="n">
        <x:v>80</x:v>
      </x:c>
      <x:c r="H30" s="14" t="n">
        <x:v>4</x:v>
      </x:c>
      <x:c r="I30" s="14" t="n">
        <x:v>86</x:v>
      </x:c>
      <x:c r="J30" s="14" t="str">
        <x:v>E-A</x:v>
      </x:c>
      <x:c r="K30" s="14" t="str">
        <x:v>제조·설치</x:v>
      </x:c>
      <x:c r="L30" s="14" t="str">
        <x:v>공식사이트 확인</x:v>
      </x:c>
      <x:c r="M30" s="14" t="str">
        <x:v>맞춤 디자인 대문을 RHINORY 컬렉션화</x:v>
      </x:c>
      <x:c r="N30" s="14" t="str">
        <x:v>https://www.xn--2q1bjxg18a9qbsye.com/</x:v>
      </x:c>
    </x:row>
    <x:row r="31">
      <x:c r="A31" s="14" t="n">
        <x:v>30</x:v>
      </x:c>
      <x:c r="B31" s="14" t="str">
        <x:v>EXP-025</x:v>
      </x:c>
      <x:c r="C31" s="14" t="str">
        <x:v>S03</x:v>
      </x:c>
      <x:c r="D31" s="14" t="str">
        <x:v>스위틸(Sweeteel)</x:v>
      </x:c>
      <x:c r="E31" s="14" t="str">
        <x:v>택배함·금속보관함</x:v>
      </x:c>
      <x:c r="F31" s="14" t="n">
        <x:v>91</x:v>
      </x:c>
      <x:c r="G31" s="14" t="n">
        <x:v>82</x:v>
      </x:c>
      <x:c r="H31" s="14" t="n">
        <x:v>4</x:v>
      </x:c>
      <x:c r="I31" s="14" t="n">
        <x:v>86</x:v>
      </x:c>
      <x:c r="J31" s="14" t="str">
        <x:v>E-A</x:v>
      </x:c>
      <x:c r="K31" s="14" t="str">
        <x:v>맞춤제작</x:v>
      </x:c>
      <x:c r="L31" s="14" t="str">
        <x:v>공식사이트 확인</x:v>
      </x:c>
      <x:c r="M31" s="14" t="str">
        <x:v>디자인 택배함 PB/OEM</x:v>
      </x:c>
      <x:c r="N31" s="14" t="str">
        <x:v>https://sweeteel.com/</x:v>
      </x:c>
    </x:row>
    <x:row r="32">
      <x:c r="A32" s="14" t="n">
        <x:v>31</x:v>
      </x:c>
      <x:c r="B32" s="14" t="str">
        <x:v>EXP-058</x:v>
      </x:c>
      <x:c r="C32" s="14" t="str">
        <x:v>S06</x:v>
      </x:c>
      <x:c r="D32" s="14" t="str">
        <x:v>리안아쿠아</x:v>
      </x:c>
      <x:c r="E32" s="14" t="str">
        <x:v>수영장·사우나·수처리</x:v>
      </x:c>
      <x:c r="F32" s="14" t="n">
        <x:v>91</x:v>
      </x:c>
      <x:c r="G32" s="14" t="n">
        <x:v>82</x:v>
      </x:c>
      <x:c r="H32" s="14" t="n">
        <x:v>4</x:v>
      </x:c>
      <x:c r="I32" s="14" t="n">
        <x:v>86</x:v>
      </x:c>
      <x:c r="J32" s="14" t="str">
        <x:v>E-A</x:v>
      </x:c>
      <x:c r="K32" s="14" t="str">
        <x:v>설계·시공</x:v>
      </x:c>
      <x:c r="L32" s="14" t="str">
        <x:v>공식사이트 확인</x:v>
      </x:c>
      <x:c r="M32" s="14" t="str">
        <x:v>AEO 공백형 시공 파트너</x:v>
      </x:c>
      <x:c r="N32" s="14" t="str">
        <x:v>https://rianaqua.itpage.kr/</x:v>
      </x:c>
    </x:row>
    <x:row r="33">
      <x:c r="A33" s="14" t="n">
        <x:v>32</x:v>
      </x:c>
      <x:c r="B33" s="14" t="str">
        <x:v>EXP-048</x:v>
      </x:c>
      <x:c r="C33" s="14" t="str">
        <x:v>S05</x:v>
      </x:c>
      <x:c r="D33" s="14" t="str">
        <x:v>메이플우드</x:v>
      </x:c>
      <x:c r="E33" s="14" t="str">
        <x:v>합성데크·사이딩·펜스</x:v>
      </x:c>
      <x:c r="F33" s="14" t="n">
        <x:v>91</x:v>
      </x:c>
      <x:c r="G33" s="14" t="n">
        <x:v>70</x:v>
      </x:c>
      <x:c r="H33" s="14" t="n">
        <x:v>5</x:v>
      </x:c>
      <x:c r="I33" s="14" t="n">
        <x:v>86</x:v>
      </x:c>
      <x:c r="J33" s="14" t="str">
        <x:v>E-A</x:v>
      </x:c>
      <x:c r="K33" s="14" t="str">
        <x:v>자재·유통</x:v>
      </x:c>
      <x:c r="L33" s="14" t="str">
        <x:v>공식사이트 확인</x:v>
      </x:c>
      <x:c r="M33" s="14" t="str">
        <x:v>멀티 외장/마당 자재 공급</x:v>
      </x:c>
      <x:c r="N33" s="14" t="str">
        <x:v>https://maplewood.co.kr/</x:v>
      </x:c>
    </x:row>
    <x:row r="34">
      <x:c r="A34" s="14" t="n">
        <x:v>33</x:v>
      </x:c>
      <x:c r="B34" s="14" t="str">
        <x:v>EXP-006</x:v>
      </x:c>
      <x:c r="C34" s="14" t="str">
        <x:v>S01</x:v>
      </x:c>
      <x:c r="D34" s="14" t="str">
        <x:v>영동철망(휀스)</x:v>
      </x:c>
      <x:c r="E34" s="14" t="str">
        <x:v>휀스·대문</x:v>
      </x:c>
      <x:c r="F34" s="14" t="n">
        <x:v>90</x:v>
      </x:c>
      <x:c r="G34" s="14" t="n">
        <x:v>85</x:v>
      </x:c>
      <x:c r="H34" s="14" t="n">
        <x:v>4</x:v>
      </x:c>
      <x:c r="I34" s="14" t="n">
        <x:v>86</x:v>
      </x:c>
      <x:c r="J34" s="14" t="str">
        <x:v>E-A</x:v>
      </x:c>
      <x:c r="K34" s="14" t="str">
        <x:v>제조·시공</x:v>
      </x:c>
      <x:c r="L34" s="14" t="str">
        <x:v>공식사이트 확인</x:v>
      </x:c>
      <x:c r="M34" s="14" t="str">
        <x:v>지역형 제조사를 전국 온라인 리드로 연결</x:v>
      </x:c>
      <x:c r="N34" s="14" t="str">
        <x:v>https://www.youngdong09.kr/</x:v>
      </x:c>
    </x:row>
    <x:row r="35">
      <x:c r="A35" s="14" t="n">
        <x:v>34</x:v>
      </x:c>
      <x:c r="B35" s="14" t="str">
        <x:v>EXP-008</x:v>
      </x:c>
      <x:c r="C35" s="14" t="str">
        <x:v>S01</x:v>
      </x:c>
      <x:c r="D35" s="14" t="str">
        <x:v>전주휀스철망</x:v>
      </x:c>
      <x:c r="E35" s="14" t="str">
        <x:v>메쉬·디자인휀스·대문</x:v>
      </x:c>
      <x:c r="F35" s="14" t="n">
        <x:v>90</x:v>
      </x:c>
      <x:c r="G35" s="14" t="n">
        <x:v>82</x:v>
      </x:c>
      <x:c r="H35" s="14" t="n">
        <x:v>4</x:v>
      </x:c>
      <x:c r="I35" s="14" t="n">
        <x:v>86</x:v>
      </x:c>
      <x:c r="J35" s="14" t="str">
        <x:v>E-A</x:v>
      </x:c>
      <x:c r="K35" s="14" t="str">
        <x:v>판매·시공</x:v>
      </x:c>
      <x:c r="L35" s="14" t="str">
        <x:v>공식사이트 확인</x:v>
      </x:c>
      <x:c r="M35" s="14" t="str">
        <x:v>지역 설치형 파트너 + 가격 DB 구축</x:v>
      </x:c>
      <x:c r="N35" s="14" t="str">
        <x:v>https://cnfence.co.kr/base/product/01.php?com_board_category_code=c1</x:v>
      </x:c>
    </x:row>
    <x:row r="36">
      <x:c r="A36" s="14" t="n">
        <x:v>35</x:v>
      </x:c>
      <x:c r="B36" s="14" t="str">
        <x:v>EXP-099</x:v>
      </x:c>
      <x:c r="C36" s="14" t="str">
        <x:v>S10</x:v>
      </x:c>
      <x:c r="D36" s="14" t="str">
        <x:v>YNC조경종합건설</x:v>
      </x:c>
      <x:c r="E36" s="14" t="str">
        <x:v>퍼걸러·놀이·조경시설</x:v>
      </x:c>
      <x:c r="F36" s="14" t="n">
        <x:v>90</x:v>
      </x:c>
      <x:c r="G36" s="14" t="n">
        <x:v>82</x:v>
      </x:c>
      <x:c r="H36" s="14" t="n">
        <x:v>4</x:v>
      </x:c>
      <x:c r="I36" s="14" t="n">
        <x:v>86</x:v>
      </x:c>
      <x:c r="J36" s="14" t="str">
        <x:v>E-A</x:v>
      </x:c>
      <x:c r="K36" s="14" t="str">
        <x:v>조경·시설시공</x:v>
      </x:c>
      <x:c r="L36" s="14" t="str">
        <x:v>공식사이트 확인</x:v>
      </x:c>
      <x:c r="M36" s="14" t="str">
        <x:v>지역 시공 리드 + 다품목</x:v>
      </x:c>
      <x:c r="N36" s="14" t="str">
        <x:v>https://xn--z69akfs61doydtio9bvzdxxc.com/business/</x:v>
      </x:c>
    </x:row>
  </x:sheetData>
  <x:conditionalFormatting sqref="I2:I3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{71D4A86C-F596-7F1F-2DCB-551DADC3AE4A}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8d99630869842a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1D4A86C-F596-7F1F-2DCB-551DADC3AE4A}">
            <x14:dataBar gradient="1">
              <x14:cfvo type="min"/>
              <x14:cfvo type="max"/>
              <x14:fillColor rgb="FFA02B93"/>
            </x14:dataBar>
          </x14:cfRule>
          <xm:sqref>I2:I36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5" hidden="0" customWidth="1"/>
    <x:col min="4" max="4" width="29" hidden="0" customWidth="1"/>
    <x:col min="5" max="5" width="11" hidden="0" customWidth="1"/>
    <x:col min="6" max="6" width="24" hidden="0" customWidth="1"/>
    <x:col min="7" max="7" width="28" hidden="0" customWidth="1"/>
    <x:col min="8" max="8" width="31" hidden="0" customWidth="1"/>
    <x:col min="9" max="9" width="14" hidden="0" customWidth="1"/>
    <x:col min="10" max="10" width="35" hidden="0" customWidth="1"/>
    <x:col min="11" max="11" width="35" hidden="0" customWidth="1"/>
    <x:col min="12" max="12" width="27" hidden="0" customWidth="1"/>
    <x:col min="13" max="13" width="16" hidden="0" customWidth="1"/>
    <x:col min="14" max="14" width="18" hidden="0" customWidth="1"/>
    <x:col min="15" max="15" width="15" hidden="0" customWidth="1"/>
    <x:col min="16" max="16" width="22" hidden="0" customWidth="1"/>
    <x:col min="17" max="17" width="20" hidden="0" customWidth="1"/>
    <x:col min="18" max="18" width="25" hidden="0" customWidth="1"/>
    <x:col min="19" max="19" width="25" hidden="0" customWidth="1"/>
    <x:col min="20" max="20" width="35" hidden="0" customWidth="1"/>
    <x:col min="21" max="21" width="15" hidden="0" customWidth="1"/>
    <x:col min="22" max="22" width="12" hidden="0" customWidth="1"/>
    <x:col min="23" max="23" width="13" hidden="0" customWidth="1"/>
    <x:col min="24" max="24" width="13" hidden="0" customWidth="1"/>
    <x:col min="25" max="25" width="15" hidden="0" customWidth="1"/>
    <x:col min="26" max="26" width="13" hidden="0" customWidth="1"/>
    <x:col min="27" max="27" width="14" hidden="0" customWidth="1"/>
    <x:col min="28" max="28" width="13" hidden="0" customWidth="1"/>
    <x:col min="29" max="29" width="14" hidden="0" customWidth="1"/>
    <x:col min="30" max="30" width="24" hidden="0" customWidth="1"/>
    <x:col min="31" max="31" width="55" hidden="0" customWidth="1"/>
    <x:col min="32" max="32" width="44" hidden="0" customWidth="1"/>
    <x:col min="33" max="33" width="48" hidden="0" customWidth="1"/>
    <x:col min="34" max="34" width="13" hidden="0" customWidth="1"/>
  </x:cols>
  <x:sheetData>
    <x:row r="1" ht="40" customHeight="1">
      <x:c r="A1" s="103" t="str">
        <x:v>ID</x:v>
      </x:c>
      <x:c r="B1" s="103" t="str">
        <x:v>소싱군</x:v>
      </x:c>
      <x:c r="C1" s="103" t="str">
        <x:v>업체명</x:v>
      </x:c>
      <x:c r="D1" s="103" t="str">
        <x:v>상품</x:v>
      </x:c>
      <x:c r="E1" s="103" t="str">
        <x:v>국가</x:v>
      </x:c>
      <x:c r="F1" s="103" t="str">
        <x:v>공급 역할</x:v>
      </x:c>
      <x:c r="G1" s="103" t="str">
        <x:v>공식 전화</x:v>
      </x:c>
      <x:c r="H1" s="103" t="str">
        <x:v>확정/후보 이메일</x:v>
      </x:c>
      <x:c r="I1" s="103" t="str">
        <x:v>이메일 검증</x:v>
      </x:c>
      <x:c r="J1" s="103" t="str">
        <x:v>메일 근거 1</x:v>
      </x:c>
      <x:c r="K1" s="103" t="str">
        <x:v>메일 근거 2</x:v>
      </x:c>
      <x:c r="L1" s="103" t="str">
        <x:v>접촉 부서/경로</x:v>
      </x:c>
      <x:c r="M1" s="103" t="str">
        <x:v>자사 온라인판매</x:v>
      </x:c>
      <x:c r="N1" s="103" t="str">
        <x:v>RHINORY 온라인판매 허용</x:v>
      </x:c>
      <x:c r="O1" s="103" t="str">
        <x:v>위탁판매</x:v>
      </x:c>
      <x:c r="P1" s="103" t="str">
        <x:v>도매/B2B</x:v>
      </x:c>
      <x:c r="Q1" s="103" t="str">
        <x:v>OEM/ODM</x:v>
      </x:c>
      <x:c r="R1" s="103" t="str">
        <x:v>설치지역</x:v>
      </x:c>
      <x:c r="S1" s="103" t="str">
        <x:v>A/S</x:v>
      </x:c>
      <x:c r="T1" s="103" t="str">
        <x:v>제품자료 사용권</x:v>
      </x:c>
      <x:c r="U1" s="103" t="str">
        <x:v>예비 AEO 기회</x:v>
      </x:c>
      <x:c r="V1" s="103" t="str">
        <x:v>FAQ/답변</x:v>
      </x:c>
      <x:c r="W1" s="103" t="str">
        <x:v>가격·스토어</x:v>
      </x:c>
      <x:c r="X1" s="103" t="str">
        <x:v>제품스펙</x:v>
      </x:c>
      <x:c r="Y1" s="103" t="str">
        <x:v>시공/프로젝트</x:v>
      </x:c>
      <x:c r="Z1" s="103" t="str">
        <x:v>A/S 콘텐츠</x:v>
      </x:c>
      <x:c r="AA1" s="103" t="str">
        <x:v>AEO 기회 v2</x:v>
      </x:c>
      <x:c r="AB1" s="103" t="str">
        <x:v>Supplier Fit</x:v>
      </x:c>
      <x:c r="AC1" s="103" t="str">
        <x:v>영업점수 v4</x:v>
      </x:c>
      <x:c r="AD1" s="103" t="str">
        <x:v>현재 판정</x:v>
      </x:c>
      <x:c r="AE1" s="103" t="str">
        <x:v>핵심 다음 질문</x:v>
      </x:c>
      <x:c r="AF1" s="103" t="str">
        <x:v>공식/근거 URL</x:v>
      </x:c>
      <x:c r="AG1" s="103" t="str">
        <x:v>메모</x:v>
      </x:c>
      <x:c r="AH1" s="103" t="str">
        <x:v>확인일</x:v>
      </x:c>
    </x:row>
    <x:row r="2" ht="54" customHeight="1">
      <x:c r="A2" s="14" t="str">
        <x:v>EXP-001</x:v>
      </x:c>
      <x:c r="B2" s="14" t="str">
        <x:v>S01</x:v>
      </x:c>
      <x:c r="C2" s="14" t="str">
        <x:v>효성게이트</x:v>
      </x:c>
      <x:c r="D2" s="14" t="str">
        <x:v>자동대문·차고문·게이트</x:v>
      </x:c>
      <x:c r="E2" s="14" t="str">
        <x:v>대한민국</x:v>
      </x:c>
      <x:c r="F2" s="14" t="str">
        <x:v>제작·설치</x:v>
      </x:c>
      <x:c r="G2" s="14" t="str">
        <x:v>공식 사이트 문의폼 중심</x:v>
      </x:c>
      <x:c r="H2" s="14" t="str">
        <x:v>공개 이메일 미확인</x:v>
      </x:c>
      <x:c r="I2" s="14" t="str">
        <x:v>X</x:v>
      </x:c>
      <x:c r="J2" s="14" t="str"/>
      <x:c r="K2" s="14" t="str"/>
      <x:c r="L2" s="14" t="str">
        <x:v>공식 온라인문의</x:v>
      </x:c>
      <x:c r="M2" s="14" t="str">
        <x:v>미확인</x:v>
      </x:c>
      <x:c r="N2" s="14" t="str">
        <x:v>문의 필요</x:v>
      </x:c>
      <x:c r="O2" s="14" t="str">
        <x:v>문의 필요</x:v>
      </x:c>
      <x:c r="P2" s="14" t="str">
        <x:v>문의 필요</x:v>
      </x:c>
      <x:c r="Q2" s="14" t="str">
        <x:v>문의 필요</x:v>
      </x:c>
      <x:c r="R2" s="14" t="str">
        <x:v>문의 필요</x:v>
      </x:c>
      <x:c r="S2" s="14" t="str">
        <x:v>문의 필요</x:v>
      </x:c>
      <x:c r="T2" s="14" t="str">
        <x:v>사전승인 필요(공개 허용 문구 없음)</x:v>
      </x:c>
      <x:c r="U2" s="14" t="n">
        <x:v>72</x:v>
      </x:c>
      <x:c r="V2" s="14" t="str">
        <x:v>N</x:v>
      </x:c>
      <x:c r="W2" s="14" t="str">
        <x:v>N</x:v>
      </x:c>
      <x:c r="X2" s="14" t="str">
        <x:v>Y</x:v>
      </x:c>
      <x:c r="Y2" s="14" t="str">
        <x:v>Y</x:v>
      </x:c>
      <x:c r="Z2" s="14" t="str">
        <x:v>N</x:v>
      </x:c>
      <x:c r="AA2" s="14" t="n">
        <x:f>MAX(20,U2-IF(V2="Y",12,0)-IF(W2="Y",8,0)-IF(X2="Y",8,0)-IF(Y2="Y",8,0)-IF(Z2="Y",6,0))</x:f>
        <x:v>56</x:v>
      </x:c>
      <x:c r="AB2" s="14" t="n">
        <x:v>92</x:v>
      </x:c>
      <x:c r="AC2" s="14" t="n">
        <x:f>ROUND(AB2*0.45+AA2*0.30+IF(I2="A",100,IF(I2="B",85,IF(I2="C",55,IF(I2="CONFLICT",25,35))))*0.20+IF(E2="대한민국",100,25)*0.05,0)</x:f>
        <x:v>70</x:v>
      </x:c>
      <x:c r="AD2" s="14" t="str">
        <x:v>전화/폼 선행</x:v>
      </x:c>
      <x:c r="AE2" s="14" t="str">
        <x:v>온라인 리셀러 허용 / 공급가·MOQ / 위탁·직배송 / 설치권역 / A/S 책임 / 제품사진·상세페이지 사용승인 / OEM·PB 가능 여부</x:v>
      </x:c>
      <x:c r="AF2" s="14" t="str">
        <x:v>https://www.hyosunggate.com/</x:v>
      </x:c>
      <x:c r="AG2" s="14" t="str">
        <x:v>공개 이메일을 확인하지 못함. 주소 추측 금지.</x:v>
      </x:c>
      <x:c r="AH2" s="14" t="str">
        <x:v>2026-08-13</x:v>
      </x:c>
    </x:row>
    <x:row r="3" ht="54" customHeight="1">
      <x:c r="A3" s="14" t="str">
        <x:v>EXP-002</x:v>
      </x:c>
      <x:c r="B3" s="14" t="str">
        <x:v>S01</x:v>
      </x:c>
      <x:c r="C3" s="14" t="str">
        <x:v>동진에이디</x:v>
      </x:c>
      <x:c r="D3" s="14" t="str">
        <x:v>맞춤 대문·슬라이딩/스윙게이트</x:v>
      </x:c>
      <x:c r="E3" s="14" t="str">
        <x:v>대한민국</x:v>
      </x:c>
      <x:c r="F3" s="14" t="str">
        <x:v>직접제작·설치</x:v>
      </x:c>
      <x:c r="G3" s="14" t="str">
        <x:v>1588-4619</x:v>
      </x:c>
      <x:c r="H3" s="14" t="str">
        <x:v>dongjinad77@naver.com</x:v>
      </x:c>
      <x:c r="I3" s="14" t="str">
        <x:v>A</x:v>
      </x:c>
      <x:c r="J3" s="14" t="str">
        <x:v>공식 홈페이지 회사/연락처</x:v>
      </x:c>
      <x:c r="K3" s="14" t="str">
        <x:v>공식 제품/회사 페이지 반복 표기</x:v>
      </x:c>
      <x:c r="L3" s="14" t="str">
        <x:v>대표전화+대표메일</x:v>
      </x:c>
      <x:c r="M3" s="14" t="str">
        <x:v>미확인</x:v>
      </x:c>
      <x:c r="N3" s="14" t="str">
        <x:v>문의 필요</x:v>
      </x:c>
      <x:c r="O3" s="14" t="str">
        <x:v>문의 필요</x:v>
      </x:c>
      <x:c r="P3" s="14" t="str">
        <x:v>문의 필요</x:v>
      </x:c>
      <x:c r="Q3" s="14" t="str">
        <x:v>문의 필요</x:v>
      </x:c>
      <x:c r="R3" s="14" t="str">
        <x:v>문의 필요</x:v>
      </x:c>
      <x:c r="S3" s="14" t="str">
        <x:v>O(제작→설치→사후관리 원스톱 표방)</x:v>
      </x:c>
      <x:c r="T3" s="14" t="str">
        <x:v>사전승인 필요(공개 허용 문구 없음)</x:v>
      </x:c>
      <x:c r="U3" s="14" t="n">
        <x:v>80</x:v>
      </x:c>
      <x:c r="V3" s="14" t="str">
        <x:v>N</x:v>
      </x:c>
      <x:c r="W3" s="14" t="str">
        <x:v>N</x:v>
      </x:c>
      <x:c r="X3" s="14" t="str">
        <x:v>Y</x:v>
      </x:c>
      <x:c r="Y3" s="14" t="str">
        <x:v>Y</x:v>
      </x:c>
      <x:c r="Z3" s="14" t="str">
        <x:v>Y</x:v>
      </x:c>
      <x:c r="AA3" s="14" t="n">
        <x:f>MAX(20,U3-IF(V3="Y",12,0)-IF(W3="Y",8,0)-IF(X3="Y",8,0)-IF(Y3="Y",8,0)-IF(Z3="Y",6,0))</x:f>
        <x:v>58</x:v>
      </x:c>
      <x:c r="AB3" s="14" t="n">
        <x:v>92</x:v>
      </x:c>
      <x:c r="AC3" s="14" t="n">
        <x:f>ROUND(AB3*0.45+AA3*0.30+IF(I3="A",100,IF(I3="B",85,IF(I3="C",55,IF(I3="CONFLICT",25,35))))*0.20+IF(E3="대한민국",100,25)*0.05,0)</x:f>
        <x:v>84</x:v>
      </x:c>
      <x:c r="AD3" s="14" t="str">
        <x:v>메일발송 가능</x:v>
      </x:c>
      <x:c r="AE3" s="14" t="str">
        <x:v>온라인 리셀러 허용 / 공급가·MOQ / 위탁·직배송 / 설치권역 / A/S 책임 / 제품사진·상세페이지 사용승인 / OEM·PB 가능 여부</x:v>
      </x:c>
      <x:c r="AF3" s="14" t="str">
        <x:v>https://www.xn--2q1bjxg18a9qbsye.com/</x:v>
      </x:c>
      <x:c r="AG3" s="14" t="str"/>
      <x:c r="AH3" s="14" t="str">
        <x:v>2026-08-13</x:v>
      </x:c>
    </x:row>
    <x:row r="4" ht="54" customHeight="1">
      <x:c r="A4" s="14" t="str">
        <x:v>EXP-003</x:v>
      </x:c>
      <x:c r="B4" s="14" t="str">
        <x:v>S01</x:v>
      </x:c>
      <x:c r="C4" s="14" t="str">
        <x:v>동일자동도어</x:v>
      </x:c>
      <x:c r="D4" s="14" t="str">
        <x:v>자동대문</x:v>
      </x:c>
      <x:c r="E4" s="14" t="str">
        <x:v>대한민국</x:v>
      </x:c>
      <x:c r="F4" s="14" t="str">
        <x:v>제작·설치</x:v>
      </x:c>
      <x:c r="G4" s="14" t="str">
        <x:v>02-2138-2128 / 공장 02-6221-6561</x:v>
      </x:c>
      <x:c r="H4" s="14" t="str">
        <x:v>dongikjae@naver.com</x:v>
      </x:c>
      <x:c r="I4" s="14" t="str">
        <x:v>B</x:v>
      </x:c>
      <x:c r="J4" s="14" t="str">
        <x:v>공식 홈페이지</x:v>
      </x:c>
      <x:c r="K4" s="14" t="str"/>
      <x:c r="L4" s="14" t="str">
        <x:v>대표메일+전화</x:v>
      </x:c>
      <x:c r="M4" s="14" t="str">
        <x:v>미확인</x:v>
      </x:c>
      <x:c r="N4" s="14" t="str">
        <x:v>문의 필요</x:v>
      </x:c>
      <x:c r="O4" s="14" t="str">
        <x:v>문의 필요</x:v>
      </x:c>
      <x:c r="P4" s="14" t="str">
        <x:v>문의 필요</x:v>
      </x:c>
      <x:c r="Q4" s="14" t="str">
        <x:v>문의 필요</x:v>
      </x:c>
      <x:c r="R4" s="14" t="str">
        <x:v>문의 필요</x:v>
      </x:c>
      <x:c r="S4" s="14" t="str">
        <x:v>문의 필요</x:v>
      </x:c>
      <x:c r="T4" s="14" t="str">
        <x:v>사전승인 필요(공개 허용 문구 없음)</x:v>
      </x:c>
      <x:c r="U4" s="14" t="n">
        <x:v>70</x:v>
      </x:c>
      <x:c r="V4" s="14" t="str">
        <x:v>N</x:v>
      </x:c>
      <x:c r="W4" s="14" t="str">
        <x:v>N</x:v>
      </x:c>
      <x:c r="X4" s="14" t="str">
        <x:v>Y</x:v>
      </x:c>
      <x:c r="Y4" s="14" t="str">
        <x:v>Y</x:v>
      </x:c>
      <x:c r="Z4" s="14" t="str">
        <x:v>N</x:v>
      </x:c>
      <x:c r="AA4" s="14" t="n">
        <x:f>MAX(20,U4-IF(V4="Y",12,0)-IF(W4="Y",8,0)-IF(X4="Y",8,0)-IF(Y4="Y",8,0)-IF(Z4="Y",6,0))</x:f>
        <x:v>54</x:v>
      </x:c>
      <x:c r="AB4" s="14" t="n">
        <x:v>90</x:v>
      </x:c>
      <x:c r="AC4" s="14" t="n">
        <x:f>ROUND(AB4*0.45+AA4*0.30+IF(I4="A",100,IF(I4="B",85,IF(I4="C",55,IF(I4="CONFLICT",25,35))))*0.20+IF(E4="대한민국",100,25)*0.05,0)</x:f>
        <x:v>79</x:v>
      </x:c>
      <x:c r="AD4" s="14" t="str">
        <x:v>메일발송 가능</x:v>
      </x:c>
      <x:c r="AE4" s="14" t="str">
        <x:v>온라인 리셀러 허용 / 공급가·MOQ / 위탁·직배송 / 설치권역 / A/S 책임 / 제품사진·상세페이지 사용승인 / OEM·PB 가능 여부</x:v>
      </x:c>
      <x:c r="AF4" s="14" t="str">
        <x:v>https://www.dongildoor.co.kr/about-us</x:v>
      </x:c>
      <x:c r="AG4" s="14" t="str"/>
      <x:c r="AH4" s="14" t="str">
        <x:v>2026-08-13</x:v>
      </x:c>
    </x:row>
    <x:row r="5" ht="54" customHeight="1">
      <x:c r="A5" s="14" t="str">
        <x:v>EXP-004</x:v>
      </x:c>
      <x:c r="B5" s="14" t="str">
        <x:v>S01</x:v>
      </x:c>
      <x:c r="C5" s="14" t="str">
        <x:v>남영휀스</x:v>
      </x:c>
      <x:c r="D5" s="14" t="str">
        <x:v>휀스·울타리</x:v>
      </x:c>
      <x:c r="E5" s="14" t="str">
        <x:v>대한민국</x:v>
      </x:c>
      <x:c r="F5" s="14" t="str">
        <x:v>제조·시공</x:v>
      </x:c>
      <x:c r="G5" s="14" t="str">
        <x:v>053-253-5001~3 / 053-857-4654</x:v>
      </x:c>
      <x:c r="H5" s="14" t="str">
        <x:v>namyoung1996@yahoo.co.kr</x:v>
      </x:c>
      <x:c r="I5" s="14" t="str">
        <x:v>C</x:v>
      </x:c>
      <x:c r="J5" s="14" t="str">
        <x:v>과거/보조 웹자료</x:v>
      </x:c>
      <x:c r="K5" s="14" t="str">
        <x:v>현재 산업단지 공공목록은 전화/업체 실체만 교차확인</x:v>
      </x:c>
      <x:c r="L5" s="14" t="str">
        <x:v>전화 선확인 후 이메일</x:v>
      </x:c>
      <x:c r="M5" s="14" t="str">
        <x:v>미확인</x:v>
      </x:c>
      <x:c r="N5" s="14" t="str">
        <x:v>문의 필요</x:v>
      </x:c>
      <x:c r="O5" s="14" t="str">
        <x:v>문의 필요</x:v>
      </x:c>
      <x:c r="P5" s="14" t="str">
        <x:v>문의 필요</x:v>
      </x:c>
      <x:c r="Q5" s="14" t="str">
        <x:v>문의 필요</x:v>
      </x:c>
      <x:c r="R5" s="14" t="str">
        <x:v>문의 필요</x:v>
      </x:c>
      <x:c r="S5" s="14" t="str">
        <x:v>문의 필요</x:v>
      </x:c>
      <x:c r="T5" s="14" t="str">
        <x:v>사전승인 필요(공개 허용 문구 없음)</x:v>
      </x:c>
      <x:c r="U5" s="14" t="n">
        <x:v>82</x:v>
      </x:c>
      <x:c r="V5" s="14" t="str">
        <x:v>N</x:v>
      </x:c>
      <x:c r="W5" s="14" t="str">
        <x:v>N</x:v>
      </x:c>
      <x:c r="X5" s="14" t="str">
        <x:v>Y</x:v>
      </x:c>
      <x:c r="Y5" s="14" t="str">
        <x:v>Y</x:v>
      </x:c>
      <x:c r="Z5" s="14" t="str">
        <x:v>N</x:v>
      </x:c>
      <x:c r="AA5" s="14" t="n">
        <x:f>MAX(20,U5-IF(V5="Y",12,0)-IF(W5="Y",8,0)-IF(X5="Y",8,0)-IF(Y5="Y",8,0)-IF(Z5="Y",6,0))</x:f>
        <x:v>66</x:v>
      </x:c>
      <x:c r="AB5" s="14" t="n">
        <x:v>88</x:v>
      </x:c>
      <x:c r="AC5" s="14" t="n">
        <x:f>ROUND(AB5*0.45+AA5*0.30+IF(I5="A",100,IF(I5="B",85,IF(I5="C",55,IF(I5="CONFLICT",25,35))))*0.20+IF(E5="대한민국",100,25)*0.05,0)</x:f>
        <x:v>75</x:v>
      </x:c>
      <x:c r="AD5" s="14" t="str">
        <x:v>메일주소 전화 재확인</x:v>
      </x:c>
      <x:c r="AE5" s="14" t="str">
        <x:v>온라인 리셀러 허용 / 공급가·MOQ / 위탁·직배송 / 설치권역 / A/S 책임 / 제품사진·상세페이지 사용승인 / OEM·PB 가능 여부</x:v>
      </x:c>
      <x:c r="AF5" s="14" t="str">
        <x:v>https://nyfc.kr/</x:v>
      </x:c>
      <x:c r="AG5" s="14" t="str">
        <x:v>현재 공식 웹에서 이메일 동일성 확인이 부족해 C등급.</x:v>
      </x:c>
      <x:c r="AH5" s="14" t="str">
        <x:v>2026-08-13</x:v>
      </x:c>
    </x:row>
    <x:row r="6" ht="54" customHeight="1">
      <x:c r="A6" s="14" t="str">
        <x:v>EXP-005</x:v>
      </x:c>
      <x:c r="B6" s="14" t="str">
        <x:v>S01</x:v>
      </x:c>
      <x:c r="C6" s="14" t="str">
        <x:v>영신철망</x:v>
      </x:c>
      <x:c r="D6" s="14" t="str">
        <x:v>철망·휀스</x:v>
      </x:c>
      <x:c r="E6" s="14" t="str">
        <x:v>대한민국</x:v>
      </x:c>
      <x:c r="F6" s="14" t="str">
        <x:v>직접제조·판매·시공</x:v>
      </x:c>
      <x:c r="G6" s="14" t="str">
        <x:v>043-542-0317</x:v>
      </x:c>
      <x:c r="H6" s="14" t="str">
        <x:v>gulva7750@naver.com</x:v>
      </x:c>
      <x:c r="I6" s="14" t="str">
        <x:v>A</x:v>
      </x:c>
      <x:c r="J6" s="14" t="str">
        <x:v>공식 홈페이지</x:v>
      </x:c>
      <x:c r="K6" s="14" t="str">
        <x:v>공식 제품/연락 페이지 동일 표기</x:v>
      </x:c>
      <x:c r="L6" s="14" t="str">
        <x:v>대표메일+전화</x:v>
      </x:c>
      <x:c r="M6" s="14" t="str">
        <x:v>미확인</x:v>
      </x:c>
      <x:c r="N6" s="14" t="str">
        <x:v>문의 필요</x:v>
      </x:c>
      <x:c r="O6" s="14" t="str">
        <x:v>문의 필요</x:v>
      </x:c>
      <x:c r="P6" s="14" t="str">
        <x:v>문의 필요(직접생산/판매 공개)</x:v>
      </x:c>
      <x:c r="Q6" s="14" t="str">
        <x:v>문의 필요</x:v>
      </x:c>
      <x:c r="R6" s="14" t="str">
        <x:v>문의 필요</x:v>
      </x:c>
      <x:c r="S6" s="14" t="str">
        <x:v>문의 필요</x:v>
      </x:c>
      <x:c r="T6" s="14" t="str">
        <x:v>사전승인 필요(공개 허용 문구 없음)</x:v>
      </x:c>
      <x:c r="U6" s="14" t="n">
        <x:v>78</x:v>
      </x:c>
      <x:c r="V6" s="14" t="str">
        <x:v>N</x:v>
      </x:c>
      <x:c r="W6" s="14" t="str">
        <x:v>N</x:v>
      </x:c>
      <x:c r="X6" s="14" t="str">
        <x:v>Y</x:v>
      </x:c>
      <x:c r="Y6" s="14" t="str">
        <x:v>Y</x:v>
      </x:c>
      <x:c r="Z6" s="14" t="str">
        <x:v>N</x:v>
      </x:c>
      <x:c r="AA6" s="14" t="n">
        <x:f>MAX(20,U6-IF(V6="Y",12,0)-IF(W6="Y",8,0)-IF(X6="Y",8,0)-IF(Y6="Y",8,0)-IF(Z6="Y",6,0))</x:f>
        <x:v>62</x:v>
      </x:c>
      <x:c r="AB6" s="14" t="n">
        <x:v>94</x:v>
      </x:c>
      <x:c r="AC6" s="14" t="n">
        <x:f>ROUND(AB6*0.45+AA6*0.30+IF(I6="A",100,IF(I6="B",85,IF(I6="C",55,IF(I6="CONFLICT",25,35))))*0.20+IF(E6="대한민국",100,25)*0.05,0)</x:f>
        <x:v>86</x:v>
      </x:c>
      <x:c r="AD6" s="14" t="str">
        <x:v>메일발송 가능</x:v>
      </x:c>
      <x:c r="AE6" s="14" t="str">
        <x:v>온라인 리셀러 허용 / 공급가·MOQ / 위탁·직배송 / 설치권역 / A/S 책임 / 제품사진·상세페이지 사용승인 / OEM·PB 가능 여부</x:v>
      </x:c>
      <x:c r="AF6" s="14" t="str">
        <x:v>https://www.yeswire.co.kr/</x:v>
      </x:c>
      <x:c r="AG6" s="14" t="str"/>
      <x:c r="AH6" s="14" t="str">
        <x:v>2026-08-13</x:v>
      </x:c>
    </x:row>
    <x:row r="7" ht="54" customHeight="1">
      <x:c r="A7" s="14" t="str">
        <x:v>EXP-006</x:v>
      </x:c>
      <x:c r="B7" s="14" t="str">
        <x:v>S01</x:v>
      </x:c>
      <x:c r="C7" s="14" t="str">
        <x:v>영동철망(휀스)</x:v>
      </x:c>
      <x:c r="D7" s="14" t="str">
        <x:v>휀스·대문</x:v>
      </x:c>
      <x:c r="E7" s="14" t="str">
        <x:v>대한민국</x:v>
      </x:c>
      <x:c r="F7" s="14" t="str">
        <x:v>제조·시공</x:v>
      </x:c>
      <x:c r="G7" s="14" t="str">
        <x:v>051-262-4344 / 010-4550-4345 / 055-388-4344</x:v>
      </x:c>
      <x:c r="H7" s="14" t="str">
        <x:v>공개 이메일 미확인</x:v>
      </x:c>
      <x:c r="I7" s="14" t="str">
        <x:v>X</x:v>
      </x:c>
      <x:c r="J7" s="14" t="str"/>
      <x:c r="K7" s="14" t="str"/>
      <x:c r="L7" s="14" t="str">
        <x:v>대표전화</x:v>
      </x:c>
      <x:c r="M7" s="14" t="str">
        <x:v>미확인</x:v>
      </x:c>
      <x:c r="N7" s="14" t="str">
        <x:v>문의 필요</x:v>
      </x:c>
      <x:c r="O7" s="14" t="str">
        <x:v>문의 필요</x:v>
      </x:c>
      <x:c r="P7" s="14" t="str">
        <x:v>문의 필요</x:v>
      </x:c>
      <x:c r="Q7" s="14" t="str">
        <x:v>문의 필요</x:v>
      </x:c>
      <x:c r="R7" s="14" t="str">
        <x:v>문의 필요</x:v>
      </x:c>
      <x:c r="S7" s="14" t="str">
        <x:v>문의 필요</x:v>
      </x:c>
      <x:c r="T7" s="14" t="str">
        <x:v>사전승인 필요(공개 허용 문구 없음)</x:v>
      </x:c>
      <x:c r="U7" s="14" t="n">
        <x:v>85</x:v>
      </x:c>
      <x:c r="V7" s="14" t="str">
        <x:v>N</x:v>
      </x:c>
      <x:c r="W7" s="14" t="str">
        <x:v>N</x:v>
      </x:c>
      <x:c r="X7" s="14" t="str">
        <x:v>Y</x:v>
      </x:c>
      <x:c r="Y7" s="14" t="str">
        <x:v>Y</x:v>
      </x:c>
      <x:c r="Z7" s="14" t="str">
        <x:v>N</x:v>
      </x:c>
      <x:c r="AA7" s="14" t="n">
        <x:f>MAX(20,U7-IF(V7="Y",12,0)-IF(W7="Y",8,0)-IF(X7="Y",8,0)-IF(Y7="Y",8,0)-IF(Z7="Y",6,0))</x:f>
        <x:v>69</x:v>
      </x:c>
      <x:c r="AB7" s="14" t="n">
        <x:v>90</x:v>
      </x:c>
      <x:c r="AC7" s="14" t="n">
        <x:f>ROUND(AB7*0.45+AA7*0.30+IF(I7="A",100,IF(I7="B",85,IF(I7="C",55,IF(I7="CONFLICT",25,35))))*0.20+IF(E7="대한민국",100,25)*0.05,0)</x:f>
        <x:v>73</x:v>
      </x:c>
      <x:c r="AD7" s="14" t="str">
        <x:v>전화 선행</x:v>
      </x:c>
      <x:c r="AE7" s="14" t="str">
        <x:v>온라인 리셀러 허용 / 공급가·MOQ / 위탁·직배송 / 설치권역 / A/S 책임 / 제품사진·상세페이지 사용승인 / OEM·PB 가능 여부</x:v>
      </x:c>
      <x:c r="AF7" s="14" t="str">
        <x:v>https://www.youngdong09.kr/</x:v>
      </x:c>
      <x:c r="AG7" s="14" t="str">
        <x:v>공식 웹에서 공개 이메일 미확인.</x:v>
      </x:c>
      <x:c r="AH7" s="14" t="str">
        <x:v>2026-08-13</x:v>
      </x:c>
    </x:row>
    <x:row r="8" ht="54" customHeight="1">
      <x:c r="A8" s="14" t="str">
        <x:v>EXP-007</x:v>
      </x:c>
      <x:c r="B8" s="14" t="str">
        <x:v>S01</x:v>
      </x:c>
      <x:c r="C8" s="14" t="str">
        <x:v>영성산업</x:v>
      </x:c>
      <x:c r="D8" s="14" t="str">
        <x:v>용접철망·메쉬휀스</x:v>
      </x:c>
      <x:c r="E8" s="14" t="str">
        <x:v>대한민국</x:v>
      </x:c>
      <x:c r="F8" s="14" t="str">
        <x:v>제조</x:v>
      </x:c>
      <x:c r="G8" s="14" t="str">
        <x:v>031-358-8304~5</x:v>
      </x:c>
      <x:c r="H8" s="14" t="str">
        <x:v>yswn6011@daum.net</x:v>
      </x:c>
      <x:c r="I8" s="14" t="str">
        <x:v>A</x:v>
      </x:c>
      <x:c r="J8" s="14" t="str">
        <x:v>공식 홈페이지</x:v>
      </x:c>
      <x:c r="K8" s="14" t="str">
        <x:v>공식 제품/문의 페이지 반복 표기</x:v>
      </x:c>
      <x:c r="L8" s="14" t="str">
        <x:v>대표메일+문의폼</x:v>
      </x:c>
      <x:c r="M8" s="14" t="str">
        <x:v>미확인</x:v>
      </x:c>
      <x:c r="N8" s="14" t="str">
        <x:v>문의 필요</x:v>
      </x:c>
      <x:c r="O8" s="14" t="str">
        <x:v>문의 필요</x:v>
      </x:c>
      <x:c r="P8" s="14" t="str">
        <x:v>문의 필요</x:v>
      </x:c>
      <x:c r="Q8" s="14" t="str">
        <x:v>문의 필요(제조설비 확인)</x:v>
      </x:c>
      <x:c r="R8" s="14" t="str">
        <x:v>문의 필요</x:v>
      </x:c>
      <x:c r="S8" s="14" t="str">
        <x:v>문의 필요</x:v>
      </x:c>
      <x:c r="T8" s="14" t="str">
        <x:v>사전승인 필요(공개 허용 문구 없음)</x:v>
      </x:c>
      <x:c r="U8" s="14" t="n">
        <x:v>68</x:v>
      </x:c>
      <x:c r="V8" s="14" t="str">
        <x:v>N</x:v>
      </x:c>
      <x:c r="W8" s="14" t="str">
        <x:v>N</x:v>
      </x:c>
      <x:c r="X8" s="14" t="str">
        <x:v>Y</x:v>
      </x:c>
      <x:c r="Y8" s="14" t="str">
        <x:v>Y</x:v>
      </x:c>
      <x:c r="Z8" s="14" t="str">
        <x:v>N</x:v>
      </x:c>
      <x:c r="AA8" s="14" t="n">
        <x:f>MAX(20,U8-IF(V8="Y",12,0)-IF(W8="Y",8,0)-IF(X8="Y",8,0)-IF(Y8="Y",8,0)-IF(Z8="Y",6,0))</x:f>
        <x:v>52</x:v>
      </x:c>
      <x:c r="AB8" s="14" t="n">
        <x:v>94</x:v>
      </x:c>
      <x:c r="AC8" s="14" t="n">
        <x:f>ROUND(AB8*0.45+AA8*0.30+IF(I8="A",100,IF(I8="B",85,IF(I8="C",55,IF(I8="CONFLICT",25,35))))*0.20+IF(E8="대한민국",100,25)*0.05,0)</x:f>
        <x:v>83</x:v>
      </x:c>
      <x:c r="AD8" s="14" t="str">
        <x:v>메일발송 가능</x:v>
      </x:c>
      <x:c r="AE8" s="14" t="str">
        <x:v>온라인 리셀러 허용 / 공급가·MOQ / 위탁·직배송 / 설치권역 / A/S 책임 / 제품사진·상세페이지 사용승인 / OEM·PB 가능 여부</x:v>
      </x:c>
      <x:c r="AF8" s="14" t="str">
        <x:v>https://youngseong.co.kr/product06/</x:v>
      </x:c>
      <x:c r="AG8" s="14" t="str"/>
      <x:c r="AH8" s="14" t="str">
        <x:v>2026-08-13</x:v>
      </x:c>
    </x:row>
    <x:row r="9" ht="54" customHeight="1">
      <x:c r="A9" s="14" t="str">
        <x:v>EXP-008</x:v>
      </x:c>
      <x:c r="B9" s="14" t="str">
        <x:v>S01</x:v>
      </x:c>
      <x:c r="C9" s="14" t="str">
        <x:v>전주휀스철망</x:v>
      </x:c>
      <x:c r="D9" s="14" t="str">
        <x:v>메쉬·디자인휀스·대문</x:v>
      </x:c>
      <x:c r="E9" s="14" t="str">
        <x:v>대한민국</x:v>
      </x:c>
      <x:c r="F9" s="14" t="str">
        <x:v>판매·시공</x:v>
      </x:c>
      <x:c r="G9" s="14" t="str">
        <x:v>010-9400-8026</x:v>
      </x:c>
      <x:c r="H9" s="14" t="str">
        <x:v>공개 이메일 미확인</x:v>
      </x:c>
      <x:c r="I9" s="14" t="str">
        <x:v>X</x:v>
      </x:c>
      <x:c r="J9" s="14" t="str"/>
      <x:c r="K9" s="14" t="str"/>
      <x:c r="L9" s="14" t="str">
        <x:v>대표전화</x:v>
      </x:c>
      <x:c r="M9" s="14" t="str">
        <x:v>미확인</x:v>
      </x:c>
      <x:c r="N9" s="14" t="str">
        <x:v>문의 필요</x:v>
      </x:c>
      <x:c r="O9" s="14" t="str">
        <x:v>문의 필요</x:v>
      </x:c>
      <x:c r="P9" s="14" t="str">
        <x:v>문의 필요</x:v>
      </x:c>
      <x:c r="Q9" s="14" t="str">
        <x:v>문의 필요</x:v>
      </x:c>
      <x:c r="R9" s="14" t="str">
        <x:v>문의 필요</x:v>
      </x:c>
      <x:c r="S9" s="14" t="str">
        <x:v>문의 필요</x:v>
      </x:c>
      <x:c r="T9" s="14" t="str">
        <x:v>사전승인 필요(공개 허용 문구 없음)</x:v>
      </x:c>
      <x:c r="U9" s="14" t="n">
        <x:v>82</x:v>
      </x:c>
      <x:c r="V9" s="14" t="str">
        <x:v>N</x:v>
      </x:c>
      <x:c r="W9" s="14" t="str">
        <x:v>N</x:v>
      </x:c>
      <x:c r="X9" s="14" t="str">
        <x:v>Y</x:v>
      </x:c>
      <x:c r="Y9" s="14" t="str">
        <x:v>Y</x:v>
      </x:c>
      <x:c r="Z9" s="14" t="str">
        <x:v>N</x:v>
      </x:c>
      <x:c r="AA9" s="14" t="n">
        <x:f>MAX(20,U9-IF(V9="Y",12,0)-IF(W9="Y",8,0)-IF(X9="Y",8,0)-IF(Y9="Y",8,0)-IF(Z9="Y",6,0))</x:f>
        <x:v>66</x:v>
      </x:c>
      <x:c r="AB9" s="14" t="n">
        <x:v>90</x:v>
      </x:c>
      <x:c r="AC9" s="14" t="n">
        <x:f>ROUND(AB9*0.45+AA9*0.30+IF(I9="A",100,IF(I9="B",85,IF(I9="C",55,IF(I9="CONFLICT",25,35))))*0.20+IF(E9="대한민국",100,25)*0.05,0)</x:f>
        <x:v>72</x:v>
      </x:c>
      <x:c r="AD9" s="14" t="str">
        <x:v>전화 선행</x:v>
      </x:c>
      <x:c r="AE9" s="14" t="str">
        <x:v>온라인 리셀러 허용 / 공급가·MOQ / 위탁·직배송 / 설치권역 / A/S 책임 / 제품사진·상세페이지 사용승인 / OEM·PB 가능 여부</x:v>
      </x:c>
      <x:c r="AF9" s="14" t="str">
        <x:v>https://cnfence.co.kr/base/product/01.php?com_board_category_code=c1</x:v>
      </x:c>
      <x:c r="AG9" s="14" t="str">
        <x:v>도메인 WHOIS/플랫폼의 무관한 이메일은 사용하지 않음.</x:v>
      </x:c>
      <x:c r="AH9" s="14" t="str">
        <x:v>2026-08-13</x:v>
      </x:c>
    </x:row>
    <x:row r="10" ht="54" customHeight="1">
      <x:c r="A10" s="14" t="str">
        <x:v>EXP-011</x:v>
      </x:c>
      <x:c r="B10" s="14" t="str">
        <x:v>S02</x:v>
      </x:c>
      <x:c r="C10" s="14" t="str">
        <x:v>캐노텍</x:v>
      </x:c>
      <x:c r="D10" s="14" t="str">
        <x:v>카포트·주차 캐노피</x:v>
      </x:c>
      <x:c r="E10" s="14" t="str">
        <x:v>대한민국</x:v>
      </x:c>
      <x:c r="F10" s="14" t="str">
        <x:v>설계·제작·설치</x:v>
      </x:c>
      <x:c r="G10" s="14" t="str">
        <x:v>070-4117-4869</x:v>
      </x:c>
      <x:c r="H10" s="14" t="str">
        <x:v>canotec@naver.com</x:v>
      </x:c>
      <x:c r="I10" s="14" t="str">
        <x:v>A</x:v>
      </x:c>
      <x:c r="J10" s="14" t="str">
        <x:v>공식 홈페이지</x:v>
      </x:c>
      <x:c r="K10" s="14" t="str">
        <x:v>공식 회사/스토어 페이지 동일 표기</x:v>
      </x:c>
      <x:c r="L10" s="14" t="str">
        <x:v>대표메일+전화</x:v>
      </x:c>
      <x:c r="M10" s="14" t="str">
        <x:v>O</x:v>
      </x:c>
      <x:c r="N10" s="14" t="str">
        <x:v>문의 필요</x:v>
      </x:c>
      <x:c r="O10" s="14" t="str">
        <x:v>문의 필요</x:v>
      </x:c>
      <x:c r="P10" s="14" t="str">
        <x:v>문의 필요</x:v>
      </x:c>
      <x:c r="Q10" s="14" t="str">
        <x:v>문의 필요</x:v>
      </x:c>
      <x:c r="R10" s="14" t="str">
        <x:v>전국 설치 표방</x:v>
      </x:c>
      <x:c r="S10" s="14" t="str">
        <x:v>문의 필요</x:v>
      </x:c>
      <x:c r="T10" s="14" t="str">
        <x:v>사전승인 필요(공개 허용 문구 없음)</x:v>
      </x:c>
      <x:c r="U10" s="14" t="n">
        <x:v>68</x:v>
      </x:c>
      <x:c r="V10" s="14" t="str">
        <x:v>N</x:v>
      </x:c>
      <x:c r="W10" s="14" t="str">
        <x:v>Y</x:v>
      </x:c>
      <x:c r="X10" s="14" t="str">
        <x:v>Y</x:v>
      </x:c>
      <x:c r="Y10" s="14" t="str">
        <x:v>Y</x:v>
      </x:c>
      <x:c r="Z10" s="14" t="str">
        <x:v>N</x:v>
      </x:c>
      <x:c r="AA10" s="14" t="n">
        <x:f>MAX(20,U10-IF(V10="Y",12,0)-IF(W10="Y",8,0)-IF(X10="Y",8,0)-IF(Y10="Y",8,0)-IF(Z10="Y",6,0))</x:f>
        <x:v>44</x:v>
      </x:c>
      <x:c r="AB10" s="14" t="n">
        <x:v>94</x:v>
      </x:c>
      <x:c r="AC10" s="14" t="n">
        <x:f>ROUND(AB10*0.45+AA10*0.30+IF(I10="A",100,IF(I10="B",85,IF(I10="C",55,IF(I10="CONFLICT",25,35))))*0.20+IF(E10="대한민국",100,25)*0.05,0)</x:f>
        <x:v>81</x:v>
      </x:c>
      <x:c r="AD10" s="14" t="str">
        <x:v>메일발송 가능</x:v>
      </x:c>
      <x:c r="AE10" s="14" t="str">
        <x:v>온라인 리셀러 허용 / 공급가·MOQ / 위탁·직배송 / 설치권역 / A/S 책임 / 제품사진·상세페이지 사용승인 / OEM·PB 가능 여부</x:v>
      </x:c>
      <x:c r="AF10" s="14" t="str">
        <x:v>https://canotec.co.kr/</x:v>
      </x:c>
      <x:c r="AG10" s="14" t="str"/>
      <x:c r="AH10" s="14" t="str">
        <x:v>2026-08-13</x:v>
      </x:c>
    </x:row>
    <x:row r="11" ht="54" customHeight="1">
      <x:c r="A11" s="14" t="str">
        <x:v>EXP-012</x:v>
      </x:c>
      <x:c r="B11" s="14" t="str">
        <x:v>S02</x:v>
      </x:c>
      <x:c r="C11" s="14" t="str">
        <x:v>우진부스텍</x:v>
      </x:c>
      <x:c r="D11" s="14" t="str">
        <x:v>EV 충전기 캐노피</x:v>
      </x:c>
      <x:c r="E11" s="14" t="str">
        <x:v>대한민국</x:v>
      </x:c>
      <x:c r="F11" s="14" t="str">
        <x:v>맞춤제작·설치</x:v>
      </x:c>
      <x:c r="G11" s="14" t="str">
        <x:v>070-4117-4869</x:v>
      </x:c>
      <x:c r="H11" s="14" t="str">
        <x:v>wjbstec@naver.com</x:v>
      </x:c>
      <x:c r="I11" s="14" t="str">
        <x:v>B</x:v>
      </x:c>
      <x:c r="J11" s="14" t="str">
        <x:v>공식 브랜드 웹/콘텐츠</x:v>
      </x:c>
      <x:c r="K11" s="14" t="str"/>
      <x:c r="L11" s="14" t="str">
        <x:v>대표메일+전화</x:v>
      </x:c>
      <x:c r="M11" s="14" t="str">
        <x:v>미확인</x:v>
      </x:c>
      <x:c r="N11" s="14" t="str">
        <x:v>문의 필요</x:v>
      </x:c>
      <x:c r="O11" s="14" t="str">
        <x:v>문의 필요</x:v>
      </x:c>
      <x:c r="P11" s="14" t="str">
        <x:v>문의 필요</x:v>
      </x:c>
      <x:c r="Q11" s="14" t="str">
        <x:v>문의 필요</x:v>
      </x:c>
      <x:c r="R11" s="14" t="str">
        <x:v>전국 맞춤 제작·설치 표방</x:v>
      </x:c>
      <x:c r="S11" s="14" t="str">
        <x:v>문의 필요</x:v>
      </x:c>
      <x:c r="T11" s="14" t="str">
        <x:v>사전승인 필요(공개 허용 문구 없음)</x:v>
      </x:c>
      <x:c r="U11" s="14" t="n">
        <x:v>82</x:v>
      </x:c>
      <x:c r="V11" s="14" t="str">
        <x:v>N</x:v>
      </x:c>
      <x:c r="W11" s="14" t="str">
        <x:v>N</x:v>
      </x:c>
      <x:c r="X11" s="14" t="str">
        <x:v>Y</x:v>
      </x:c>
      <x:c r="Y11" s="14" t="str">
        <x:v>Y</x:v>
      </x:c>
      <x:c r="Z11" s="14" t="str">
        <x:v>N</x:v>
      </x:c>
      <x:c r="AA11" s="14" t="n">
        <x:f>MAX(20,U11-IF(V11="Y",12,0)-IF(W11="Y",8,0)-IF(X11="Y",8,0)-IF(Y11="Y",8,0)-IF(Z11="Y",6,0))</x:f>
        <x:v>66</x:v>
      </x:c>
      <x:c r="AB11" s="14" t="n">
        <x:v>88</x:v>
      </x:c>
      <x:c r="AC11" s="14" t="n">
        <x:f>ROUND(AB11*0.45+AA11*0.30+IF(I11="A",100,IF(I11="B",85,IF(I11="C",55,IF(I11="CONFLICT",25,35))))*0.20+IF(E11="대한민국",100,25)*0.05,0)</x:f>
        <x:v>81</x:v>
      </x:c>
      <x:c r="AD11" s="14" t="str">
        <x:v>메일발송 가능</x:v>
      </x:c>
      <x:c r="AE11" s="14" t="str">
        <x:v>온라인 리셀러 허용 / 공급가·MOQ / 위탁·직배송 / 설치권역 / A/S 책임 / 제품사진·상세페이지 사용승인 / OEM·PB 가능 여부</x:v>
      </x:c>
      <x:c r="AF11" s="14" t="str">
        <x:v>https://wjbstec.tistory.com/1196</x:v>
      </x:c>
      <x:c r="AG11" s="14" t="str"/>
      <x:c r="AH11" s="14" t="str">
        <x:v>2026-08-13</x:v>
      </x:c>
    </x:row>
    <x:row r="12" ht="54" customHeight="1">
      <x:c r="A12" s="14" t="str">
        <x:v>EXP-013</x:v>
      </x:c>
      <x:c r="B12" s="14" t="str">
        <x:v>S02</x:v>
      </x:c>
      <x:c r="C12" s="14" t="str">
        <x:v>한국EV충전서비스센터</x:v>
      </x:c>
      <x:c r="D12" s="14" t="str">
        <x:v>전기차 충전기 설치·유지보수</x:v>
      </x:c>
      <x:c r="E12" s="14" t="str">
        <x:v>대한민국</x:v>
      </x:c>
      <x:c r="F12" s="14" t="str">
        <x:v>충전기 설치·유지보수</x:v>
      </x:c>
      <x:c r="G12" s="14" t="str">
        <x:v>1600-2213</x:v>
      </x:c>
      <x:c r="H12" s="14" t="str">
        <x:v>jslee@evsvc.co.kr</x:v>
      </x:c>
      <x:c r="I12" s="14" t="str">
        <x:v>A</x:v>
      </x:c>
      <x:c r="J12" s="14" t="str">
        <x:v>공식 홈페이지</x:v>
      </x:c>
      <x:c r="K12" s="14" t="str">
        <x:v>공식 FAQ/서비스 페이지 동일 표기</x:v>
      </x:c>
      <x:c r="L12" s="14" t="str">
        <x:v>대표메일+고객센터</x:v>
      </x:c>
      <x:c r="M12" s="14" t="str">
        <x:v>미확인</x:v>
      </x:c>
      <x:c r="N12" s="14" t="str">
        <x:v>문의 필요</x:v>
      </x:c>
      <x:c r="O12" s="14" t="str">
        <x:v>문의 필요</x:v>
      </x:c>
      <x:c r="P12" s="14" t="str">
        <x:v>문의 필요</x:v>
      </x:c>
      <x:c r="Q12" s="14" t="str">
        <x:v>문의 필요</x:v>
      </x:c>
      <x:c r="R12" s="14" t="str">
        <x:v>전국 유지보수/설치망</x:v>
      </x:c>
      <x:c r="S12" s="14" t="str">
        <x:v>O(설치·유지보수)</x:v>
      </x:c>
      <x:c r="T12" s="14" t="str">
        <x:v>사전승인 필요(공개 허용 문구 없음)</x:v>
      </x:c>
      <x:c r="U12" s="14" t="n">
        <x:v>60</x:v>
      </x:c>
      <x:c r="V12" s="14" t="str">
        <x:v>Y</x:v>
      </x:c>
      <x:c r="W12" s="14" t="str">
        <x:v>N</x:v>
      </x:c>
      <x:c r="X12" s="14" t="str">
        <x:v>Y</x:v>
      </x:c>
      <x:c r="Y12" s="14" t="str">
        <x:v>Y</x:v>
      </x:c>
      <x:c r="Z12" s="14" t="str">
        <x:v>Y</x:v>
      </x:c>
      <x:c r="AA12" s="14" t="n">
        <x:f>MAX(20,U12-IF(V12="Y",12,0)-IF(W12="Y",8,0)-IF(X12="Y",8,0)-IF(Y12="Y",8,0)-IF(Z12="Y",6,0))</x:f>
        <x:v>26</x:v>
      </x:c>
      <x:c r="AB12" s="14" t="n">
        <x:v>91</x:v>
      </x:c>
      <x:c r="AC12" s="14" t="n">
        <x:f>ROUND(AB12*0.45+AA12*0.30+IF(I12="A",100,IF(I12="B",85,IF(I12="C",55,IF(I12="CONFLICT",25,35))))*0.20+IF(E12="대한민국",100,25)*0.05,0)</x:f>
        <x:v>74</x:v>
      </x:c>
      <x:c r="AD12" s="14" t="str">
        <x:v>메일발송 가능</x:v>
      </x:c>
      <x:c r="AE12" s="14" t="str">
        <x:v>온라인 리셀러 허용 / 공급가·MOQ / 위탁·직배송 / 설치권역 / A/S 책임 / 제품사진·상세페이지 사용승인 / OEM·PB 가능 여부</x:v>
      </x:c>
      <x:c r="AF12" s="14" t="str">
        <x:v>https://evsvc.co.kr/</x:v>
      </x:c>
      <x:c r="AG12" s="14" t="str"/>
      <x:c r="AH12" s="14" t="str">
        <x:v>2026-08-13</x:v>
      </x:c>
    </x:row>
    <x:row r="13" ht="54" customHeight="1">
      <x:c r="A13" s="14" t="str">
        <x:v>EXP-014</x:v>
      </x:c>
      <x:c r="B13" s="14" t="str">
        <x:v>S02</x:v>
      </x:c>
      <x:c r="C13" s="14" t="str">
        <x:v>에너고</x:v>
      </x:c>
      <x:c r="D13" s="14" t="str">
        <x:v>EV 충전 설비</x:v>
      </x:c>
      <x:c r="E13" s="14" t="str">
        <x:v>대한민국</x:v>
      </x:c>
      <x:c r="F13" s="14" t="str">
        <x:v>전기공사·충전기 설치·유지보수</x:v>
      </x:c>
      <x:c r="G13" s="14" t="str">
        <x:v>010-6816-8660 / 1522-1390</x:v>
      </x:c>
      <x:c r="H13" s="14" t="str">
        <x:v>tiger@energo.kr</x:v>
      </x:c>
      <x:c r="I13" s="14" t="str">
        <x:v>A</x:v>
      </x:c>
      <x:c r="J13" s="14" t="str">
        <x:v>공식 충전기/연락 페이지</x:v>
      </x:c>
      <x:c r="K13" s="14" t="str">
        <x:v>공식 설치 페이지 동일 표기</x:v>
      </x:c>
      <x:c r="L13" s="14" t="str">
        <x:v>대표메일+전화</x:v>
      </x:c>
      <x:c r="M13" s="14" t="str">
        <x:v>미확인</x:v>
      </x:c>
      <x:c r="N13" s="14" t="str">
        <x:v>문의 필요</x:v>
      </x:c>
      <x:c r="O13" s="14" t="str">
        <x:v>문의 필요</x:v>
      </x:c>
      <x:c r="P13" s="14" t="str">
        <x:v>문의 필요</x:v>
      </x:c>
      <x:c r="Q13" s="14" t="str">
        <x:v>문의 필요</x:v>
      </x:c>
      <x:c r="R13" s="14" t="str">
        <x:v>문의 필요</x:v>
      </x:c>
      <x:c r="S13" s="14" t="str">
        <x:v>O(유지보수 공개)</x:v>
      </x:c>
      <x:c r="T13" s="14" t="str">
        <x:v>사전승인 필요(공개 허용 문구 없음)</x:v>
      </x:c>
      <x:c r="U13" s="14" t="n">
        <x:v>66</x:v>
      </x:c>
      <x:c r="V13" s="14" t="str">
        <x:v>N</x:v>
      </x:c>
      <x:c r="W13" s="14" t="str">
        <x:v>N</x:v>
      </x:c>
      <x:c r="X13" s="14" t="str">
        <x:v>Y</x:v>
      </x:c>
      <x:c r="Y13" s="14" t="str">
        <x:v>Y</x:v>
      </x:c>
      <x:c r="Z13" s="14" t="str">
        <x:v>Y</x:v>
      </x:c>
      <x:c r="AA13" s="14" t="n">
        <x:f>MAX(20,U13-IF(V13="Y",12,0)-IF(W13="Y",8,0)-IF(X13="Y",8,0)-IF(Y13="Y",8,0)-IF(Z13="Y",6,0))</x:f>
        <x:v>44</x:v>
      </x:c>
      <x:c r="AB13" s="14" t="n">
        <x:v>90</x:v>
      </x:c>
      <x:c r="AC13" s="14" t="n">
        <x:f>ROUND(AB13*0.45+AA13*0.30+IF(I13="A",100,IF(I13="B",85,IF(I13="C",55,IF(I13="CONFLICT",25,35))))*0.20+IF(E13="대한민국",100,25)*0.05,0)</x:f>
        <x:v>79</x:v>
      </x:c>
      <x:c r="AD13" s="14" t="str">
        <x:v>메일발송 가능</x:v>
      </x:c>
      <x:c r="AE13" s="14" t="str">
        <x:v>온라인 리셀러 허용 / 공급가·MOQ / 위탁·직배송 / 설치권역 / A/S 책임 / 제품사진·상세페이지 사용승인 / OEM·PB 가능 여부</x:v>
      </x:c>
      <x:c r="AF13" s="14" t="str">
        <x:v>https://energo.kr/DCFastCharger</x:v>
      </x:c>
      <x:c r="AG13" s="14" t="str">
        <x:v>공식 회사페이지에 별도 alias tiger@energo.by-works.net도 존재. 현재 대표 접점은 tiger@energo.kr로 사용.</x:v>
      </x:c>
      <x:c r="AH13" s="14" t="str">
        <x:v>2026-08-13</x:v>
      </x:c>
    </x:row>
    <x:row r="14" ht="54" customHeight="1">
      <x:c r="A14" s="14" t="str">
        <x:v>EXP-020</x:v>
      </x:c>
      <x:c r="B14" s="14" t="str">
        <x:v>S02</x:v>
      </x:c>
      <x:c r="C14" s="14" t="str">
        <x:v>제이엔코(JENCO)</x:v>
      </x:c>
      <x:c r="D14" s="14" t="str">
        <x:v>태양광 주차장·EV 연계</x:v>
      </x:c>
      <x:c r="E14" s="14" t="str">
        <x:v>대한민국</x:v>
      </x:c>
      <x:c r="F14" s="14" t="str">
        <x:v>태양광 구조물 제작·설치</x:v>
      </x:c>
      <x:c r="G14" s="14" t="str">
        <x:v>1577-1264 / 055-337-1651</x:v>
      </x:c>
      <x:c r="H14" s="14" t="str">
        <x:v>jgm@jenco.co.kr</x:v>
      </x:c>
      <x:c r="I14" s="14" t="str">
        <x:v>A</x:v>
      </x:c>
      <x:c r="J14" s="14" t="str">
        <x:v>공식 연락처 페이지</x:v>
      </x:c>
      <x:c r="K14" s="14" t="str">
        <x:v>공식 회사/연혁 페이지 동일 표기</x:v>
      </x:c>
      <x:c r="L14" s="14" t="str">
        <x:v>견적/자료 대표메일</x:v>
      </x:c>
      <x:c r="M14" s="14" t="str">
        <x:v>미확인</x:v>
      </x:c>
      <x:c r="N14" s="14" t="str">
        <x:v>문의 필요</x:v>
      </x:c>
      <x:c r="O14" s="14" t="str">
        <x:v>문의 필요</x:v>
      </x:c>
      <x:c r="P14" s="14" t="str">
        <x:v>문의 필요</x:v>
      </x:c>
      <x:c r="Q14" s="14" t="str">
        <x:v>문의 필요</x:v>
      </x:c>
      <x:c r="R14" s="14" t="str">
        <x:v>전국 프로젝트형</x:v>
      </x:c>
      <x:c r="S14" s="14" t="str">
        <x:v>문의 필요</x:v>
      </x:c>
      <x:c r="T14" s="14" t="str">
        <x:v>사전승인 필요(공개 허용 문구 없음)</x:v>
      </x:c>
      <x:c r="U14" s="14" t="n">
        <x:v>70</x:v>
      </x:c>
      <x:c r="V14" s="14" t="str">
        <x:v>Y</x:v>
      </x:c>
      <x:c r="W14" s="14" t="str">
        <x:v>N</x:v>
      </x:c>
      <x:c r="X14" s="14" t="str">
        <x:v>Y</x:v>
      </x:c>
      <x:c r="Y14" s="14" t="str">
        <x:v>Y</x:v>
      </x:c>
      <x:c r="Z14" s="14" t="str">
        <x:v>Y</x:v>
      </x:c>
      <x:c r="AA14" s="14" t="n">
        <x:f>MAX(20,U14-IF(V14="Y",12,0)-IF(W14="Y",8,0)-IF(X14="Y",8,0)-IF(Y14="Y",8,0)-IF(Z14="Y",6,0))</x:f>
        <x:v>36</x:v>
      </x:c>
      <x:c r="AB14" s="14" t="n">
        <x:v>92</x:v>
      </x:c>
      <x:c r="AC14" s="14" t="n">
        <x:f>ROUND(AB14*0.45+AA14*0.30+IF(I14="A",100,IF(I14="B",85,IF(I14="C",55,IF(I14="CONFLICT",25,35))))*0.20+IF(E14="대한민국",100,25)*0.05,0)</x:f>
        <x:v>77</x:v>
      </x:c>
      <x:c r="AD14" s="14" t="str">
        <x:v>메일발송 가능</x:v>
      </x:c>
      <x:c r="AE14" s="14" t="str">
        <x:v>온라인 리셀러 허용 / 공급가·MOQ / 위탁·직배송 / 설치권역 / A/S 책임 / 제품사진·상세페이지 사용승인 / OEM·PB 가능 여부</x:v>
      </x:c>
      <x:c r="AF14" s="14" t="str">
        <x:v>https://jenco.co.kr/parking</x:v>
      </x:c>
      <x:c r="AG14" s="14" t="str">
        <x:v>공식/전시자료에 m@jenco.co.kr, recsmp@jenco.co.kr 등 부서별 메일도 존재. 일반 견적은 jgm@jenco.co.kr 우선.</x:v>
      </x:c>
      <x:c r="AH14" s="14" t="str">
        <x:v>2026-08-13</x:v>
      </x:c>
    </x:row>
    <x:row r="15" ht="54" customHeight="1">
      <x:c r="A15" s="14" t="str">
        <x:v>EXP-021</x:v>
      </x:c>
      <x:c r="B15" s="14" t="str">
        <x:v>S03</x:v>
      </x:c>
      <x:c r="C15" s="14" t="str">
        <x:v>동광뉴텍</x:v>
      </x:c>
      <x:c r="D15" s="14" t="str">
        <x:v>철제사물함·코인락커</x:v>
      </x:c>
      <x:c r="E15" s="14" t="str">
        <x:v>대한민국</x:v>
      </x:c>
      <x:c r="F15" s="14" t="str">
        <x:v>락커 제조</x:v>
      </x:c>
      <x:c r="G15" s="14" t="str">
        <x:v>1644-5788</x:v>
      </x:c>
      <x:c r="H15" s="14" t="str">
        <x:v>공개 이메일 미확인</x:v>
      </x:c>
      <x:c r="I15" s="14" t="str">
        <x:v>X</x:v>
      </x:c>
      <x:c r="J15" s="14" t="str"/>
      <x:c r="K15" s="14" t="str"/>
      <x:c r="L15" s="14" t="str">
        <x:v>대표전화+공식 견적폼</x:v>
      </x:c>
      <x:c r="M15" s="14" t="str">
        <x:v>미확인</x:v>
      </x:c>
      <x:c r="N15" s="14" t="str">
        <x:v>문의 필요</x:v>
      </x:c>
      <x:c r="O15" s="14" t="str">
        <x:v>문의 필요</x:v>
      </x:c>
      <x:c r="P15" s="14" t="str">
        <x:v>문의 필요</x:v>
      </x:c>
      <x:c r="Q15" s="14" t="str">
        <x:v>문의 필요</x:v>
      </x:c>
      <x:c r="R15" s="14" t="str">
        <x:v>문의 필요</x:v>
      </x:c>
      <x:c r="S15" s="14" t="str">
        <x:v>문의 필요</x:v>
      </x:c>
      <x:c r="T15" s="14" t="str">
        <x:v>사전승인 필요(공개 허용 문구 없음)</x:v>
      </x:c>
      <x:c r="U15" s="14" t="n">
        <x:v>76</x:v>
      </x:c>
      <x:c r="V15" s="14" t="str">
        <x:v>N</x:v>
      </x:c>
      <x:c r="W15" s="14" t="str">
        <x:v>N</x:v>
      </x:c>
      <x:c r="X15" s="14" t="str">
        <x:v>Y</x:v>
      </x:c>
      <x:c r="Y15" s="14" t="str">
        <x:v>Y</x:v>
      </x:c>
      <x:c r="Z15" s="14" t="str">
        <x:v>N</x:v>
      </x:c>
      <x:c r="AA15" s="14" t="n">
        <x:f>MAX(20,U15-IF(V15="Y",12,0)-IF(W15="Y",8,0)-IF(X15="Y",8,0)-IF(Y15="Y",8,0)-IF(Z15="Y",6,0))</x:f>
        <x:v>60</x:v>
      </x:c>
      <x:c r="AB15" s="14" t="n">
        <x:v>90</x:v>
      </x:c>
      <x:c r="AC15" s="14" t="n">
        <x:f>ROUND(AB15*0.45+AA15*0.30+IF(I15="A",100,IF(I15="B",85,IF(I15="C",55,IF(I15="CONFLICT",25,35))))*0.20+IF(E15="대한민국",100,25)*0.05,0)</x:f>
        <x:v>71</x:v>
      </x:c>
      <x:c r="AD15" s="14" t="str">
        <x:v>견적폼/전화 선행</x:v>
      </x:c>
      <x:c r="AE15" s="14" t="str">
        <x:v>온라인 리셀러 허용 / 공급가·MOQ / 위탁·직배송 / 설치권역 / A/S 책임 / 제품사진·상세페이지 사용승인 / OEM·PB 가능 여부</x:v>
      </x:c>
      <x:c r="AF15" s="14" t="str">
        <x:v>https://www.dknt.co.kr/</x:v>
      </x:c>
      <x:c r="AG15" s="14" t="str">
        <x:v>공개 기업 이메일 미확인.</x:v>
      </x:c>
      <x:c r="AH15" s="14" t="str">
        <x:v>2026-08-13</x:v>
      </x:c>
    </x:row>
    <x:row r="16" ht="54" customHeight="1">
      <x:c r="A16" s="14" t="str">
        <x:v>EXP-022</x:v>
      </x:c>
      <x:c r="B16" s="14" t="str">
        <x:v>S03</x:v>
      </x:c>
      <x:c r="C16" s="14" t="str">
        <x:v>(주)헤드</x:v>
      </x:c>
      <x:c r="D16" s="14" t="str">
        <x:v>무인택배시스템</x:v>
      </x:c>
      <x:c r="E16" s="14" t="str">
        <x:v>대한민국</x:v>
      </x:c>
      <x:c r="F16" s="14" t="str">
        <x:v>무인택배함 제조·시스템</x:v>
      </x:c>
      <x:c r="G16" s="14" t="str">
        <x:v>1544-9808</x:v>
      </x:c>
      <x:c r="H16" s="14" t="str">
        <x:v>공개 이메일 미확인</x:v>
      </x:c>
      <x:c r="I16" s="14" t="str">
        <x:v>X</x:v>
      </x:c>
      <x:c r="J16" s="14" t="str"/>
      <x:c r="K16" s="14" t="str"/>
      <x:c r="L16" s="14" t="str">
        <x:v>대표전화+공식 문의폼</x:v>
      </x:c>
      <x:c r="M16" s="14" t="str">
        <x:v>미확인</x:v>
      </x:c>
      <x:c r="N16" s="14" t="str">
        <x:v>문의 필요</x:v>
      </x:c>
      <x:c r="O16" s="14" t="str">
        <x:v>문의 필요</x:v>
      </x:c>
      <x:c r="P16" s="14" t="str">
        <x:v>문의 필요</x:v>
      </x:c>
      <x:c r="Q16" s="14" t="str">
        <x:v>문의 필요</x:v>
      </x:c>
      <x:c r="R16" s="14" t="str">
        <x:v>문의 필요</x:v>
      </x:c>
      <x:c r="S16" s="14" t="str">
        <x:v>문의 필요</x:v>
      </x:c>
      <x:c r="T16" s="14" t="str">
        <x:v>사전승인 필요(공개 허용 문구 없음)</x:v>
      </x:c>
      <x:c r="U16" s="14" t="n">
        <x:v>62</x:v>
      </x:c>
      <x:c r="V16" s="14" t="str">
        <x:v>N</x:v>
      </x:c>
      <x:c r="W16" s="14" t="str">
        <x:v>N</x:v>
      </x:c>
      <x:c r="X16" s="14" t="str">
        <x:v>Y</x:v>
      </x:c>
      <x:c r="Y16" s="14" t="str">
        <x:v>Y</x:v>
      </x:c>
      <x:c r="Z16" s="14" t="str">
        <x:v>N</x:v>
      </x:c>
      <x:c r="AA16" s="14" t="n">
        <x:f>MAX(20,U16-IF(V16="Y",12,0)-IF(W16="Y",8,0)-IF(X16="Y",8,0)-IF(Y16="Y",8,0)-IF(Z16="Y",6,0))</x:f>
        <x:v>46</x:v>
      </x:c>
      <x:c r="AB16" s="14" t="n">
        <x:v>95</x:v>
      </x:c>
      <x:c r="AC16" s="14" t="n">
        <x:f>ROUND(AB16*0.45+AA16*0.30+IF(I16="A",100,IF(I16="B",85,IF(I16="C",55,IF(I16="CONFLICT",25,35))))*0.20+IF(E16="대한민국",100,25)*0.05,0)</x:f>
        <x:v>69</x:v>
      </x:c>
      <x:c r="AD16" s="14" t="str">
        <x:v>문의폼/전화 선행</x:v>
      </x:c>
      <x:c r="AE16" s="14" t="str">
        <x:v>온라인 리셀러 허용 / 공급가·MOQ / 위탁·직배송 / 설치권역 / A/S 책임 / 제품사진·상세페이지 사용승인 / OEM·PB 가능 여부</x:v>
      </x:c>
      <x:c r="AF16" s="14" t="str">
        <x:v>https://www.hadatb.co.kr/</x:v>
      </x:c>
      <x:c r="AG16" s="14" t="str"/>
      <x:c r="AH16" s="14" t="str">
        <x:v>2026-08-13</x:v>
      </x:c>
    </x:row>
    <x:row r="17" ht="54" customHeight="1">
      <x:c r="A17" s="14" t="str">
        <x:v>EXP-023</x:v>
      </x:c>
      <x:c r="B17" s="14" t="str">
        <x:v>S03</x:v>
      </x:c>
      <x:c r="C17" s="14" t="str">
        <x:v>택배지킴이</x:v>
      </x:c>
      <x:c r="D17" s="14" t="str">
        <x:v>무인택배함·우편함</x:v>
      </x:c>
      <x:c r="E17" s="14" t="str">
        <x:v>대한민국</x:v>
      </x:c>
      <x:c r="F17" s="14" t="str">
        <x:v>판매자/브랜드 실체 미확인</x:v>
      </x:c>
      <x:c r="G17" s="14" t="str">
        <x:v>미확인</x:v>
      </x:c>
      <x:c r="H17" s="14" t="str">
        <x:v>공개 이메일 미확인</x:v>
      </x:c>
      <x:c r="I17" s="14" t="str">
        <x:v>X</x:v>
      </x:c>
      <x:c r="J17" s="14" t="str"/>
      <x:c r="K17" s="14" t="str"/>
      <x:c r="L17" s="14" t="str">
        <x:v>업체 실체 재검증</x:v>
      </x:c>
      <x:c r="M17" s="14" t="str">
        <x:v>미확인</x:v>
      </x:c>
      <x:c r="N17" s="14" t="str">
        <x:v>문의 필요</x:v>
      </x:c>
      <x:c r="O17" s="14" t="str">
        <x:v>문의 필요</x:v>
      </x:c>
      <x:c r="P17" s="14" t="str">
        <x:v>문의 필요</x:v>
      </x:c>
      <x:c r="Q17" s="14" t="str">
        <x:v>문의 필요</x:v>
      </x:c>
      <x:c r="R17" s="14" t="str">
        <x:v>문의 필요</x:v>
      </x:c>
      <x:c r="S17" s="14" t="str">
        <x:v>문의 필요</x:v>
      </x:c>
      <x:c r="T17" s="14" t="str">
        <x:v>사전승인 필요(공개 허용 문구 없음)</x:v>
      </x:c>
      <x:c r="U17" s="14" t="n">
        <x:v>78</x:v>
      </x:c>
      <x:c r="V17" s="14" t="str">
        <x:v>N</x:v>
      </x:c>
      <x:c r="W17" s="14" t="str">
        <x:v>N</x:v>
      </x:c>
      <x:c r="X17" s="14" t="str">
        <x:v>N</x:v>
      </x:c>
      <x:c r="Y17" s="14" t="str">
        <x:v>N</x:v>
      </x:c>
      <x:c r="Z17" s="14" t="str">
        <x:v>N</x:v>
      </x:c>
      <x:c r="AA17" s="14" t="n">
        <x:f>MAX(20,U17-IF(V17="Y",12,0)-IF(W17="Y",8,0)-IF(X17="Y",8,0)-IF(Y17="Y",8,0)-IF(Z17="Y",6,0))</x:f>
        <x:v>78</x:v>
      </x:c>
      <x:c r="AB17" s="14" t="n">
        <x:v>93</x:v>
      </x:c>
      <x:c r="AC17" s="14" t="n">
        <x:f>ROUND(AB17*0.45+AA17*0.30+IF(I17="A",100,IF(I17="B",85,IF(I17="C",55,IF(I17="CONFLICT",25,35))))*0.20+IF(E17="대한민국",100,25)*0.05,0)</x:f>
        <x:v>77</x:v>
      </x:c>
      <x:c r="AD17" s="14" t="str">
        <x:v>DROP/VERIFY</x:v>
      </x:c>
      <x:c r="AE17" s="14" t="str">
        <x:v>온라인 리셀러 허용 / 공급가·MOQ / 위탁·직배송 / 설치권역 / A/S 책임 / 제품사진·상세페이지 사용승인 / OEM·PB 가능 여부</x:v>
      </x:c>
      <x:c r="AF17" s="14" t="str">
        <x:v>https://xn--2h3b29rnxbp1l1f.com/</x:v>
      </x:c>
      <x:c r="AG17" s="14" t="str">
        <x:v>검색에서 독립 제조·공급업체보다 마켓 상품명 형태가 주로 확인됨. 64개 중 우선 영업대상에서 제외 권장.</x:v>
      </x:c>
      <x:c r="AH17" s="14" t="str">
        <x:v>2026-08-13</x:v>
      </x:c>
    </x:row>
    <x:row r="18" ht="54" customHeight="1">
      <x:c r="A18" s="14" t="str">
        <x:v>EXP-025</x:v>
      </x:c>
      <x:c r="B18" s="14" t="str">
        <x:v>S03</x:v>
      </x:c>
      <x:c r="C18" s="14" t="str">
        <x:v>스위틸(Sweeteel)</x:v>
      </x:c>
      <x:c r="D18" s="14" t="str">
        <x:v>택배함·금속보관함</x:v>
      </x:c>
      <x:c r="E18" s="14" t="str">
        <x:v>대한민국</x:v>
      </x:c>
      <x:c r="F18" s="14" t="str">
        <x:v>금속 맞춤제작</x:v>
      </x:c>
      <x:c r="G18" s="14" t="str">
        <x:v>031-444-1196</x:v>
      </x:c>
      <x:c r="H18" s="14" t="str">
        <x:v>sweeteel@naver.com</x:v>
      </x:c>
      <x:c r="I18" s="14" t="str">
        <x:v>A</x:v>
      </x:c>
      <x:c r="J18" s="14" t="str">
        <x:v>공식 스토어</x:v>
      </x:c>
      <x:c r="K18" s="14" t="str">
        <x:v>공식 브랜드 페이지/검색면 반복 표기</x:v>
      </x:c>
      <x:c r="L18" s="14" t="str">
        <x:v>대표메일+전화</x:v>
      </x:c>
      <x:c r="M18" s="14" t="str">
        <x:v>O</x:v>
      </x:c>
      <x:c r="N18" s="14" t="str">
        <x:v>문의 필요</x:v>
      </x:c>
      <x:c r="O18" s="14" t="str">
        <x:v>문의 필요</x:v>
      </x:c>
      <x:c r="P18" s="14" t="str">
        <x:v>문의 필요</x:v>
      </x:c>
      <x:c r="Q18" s="14" t="str">
        <x:v>문의 필요(맞춤제작 공개)</x:v>
      </x:c>
      <x:c r="R18" s="14" t="str">
        <x:v>문의 필요</x:v>
      </x:c>
      <x:c r="S18" s="14" t="str">
        <x:v>문의 필요</x:v>
      </x:c>
      <x:c r="T18" s="14" t="str">
        <x:v>사전승인 필요(공개 허용 문구 없음)</x:v>
      </x:c>
      <x:c r="U18" s="14" t="n">
        <x:v>82</x:v>
      </x:c>
      <x:c r="V18" s="14" t="str">
        <x:v>N</x:v>
      </x:c>
      <x:c r="W18" s="14" t="str">
        <x:v>Y</x:v>
      </x:c>
      <x:c r="X18" s="14" t="str">
        <x:v>Y</x:v>
      </x:c>
      <x:c r="Y18" s="14" t="str">
        <x:v>Y</x:v>
      </x:c>
      <x:c r="Z18" s="14" t="str">
        <x:v>N</x:v>
      </x:c>
      <x:c r="AA18" s="14" t="n">
        <x:f>MAX(20,U18-IF(V18="Y",12,0)-IF(W18="Y",8,0)-IF(X18="Y",8,0)-IF(Y18="Y",8,0)-IF(Z18="Y",6,0))</x:f>
        <x:v>58</x:v>
      </x:c>
      <x:c r="AB18" s="14" t="n">
        <x:v>91</x:v>
      </x:c>
      <x:c r="AC18" s="14" t="n">
        <x:f>ROUND(AB18*0.45+AA18*0.30+IF(I18="A",100,IF(I18="B",85,IF(I18="C",55,IF(I18="CONFLICT",25,35))))*0.20+IF(E18="대한민국",100,25)*0.05,0)</x:f>
        <x:v>83</x:v>
      </x:c>
      <x:c r="AD18" s="14" t="str">
        <x:v>메일발송 가능</x:v>
      </x:c>
      <x:c r="AE18" s="14" t="str">
        <x:v>온라인 리셀러 허용 / 공급가·MOQ / 위탁·직배송 / 설치권역 / A/S 책임 / 제품사진·상세페이지 사용승인 / OEM·PB 가능 여부</x:v>
      </x:c>
      <x:c r="AF18" s="14" t="str">
        <x:v>https://sweeteel.com/</x:v>
      </x:c>
      <x:c r="AG18" s="14" t="str">
        <x:v>공식 SNS에는 031-444-1195도 보여 전화번호 차이는 메일에 영향 없음.</x:v>
      </x:c>
      <x:c r="AH18" s="14" t="str">
        <x:v>2026-08-13</x:v>
      </x:c>
    </x:row>
    <x:row r="19" ht="54" customHeight="1">
      <x:c r="A19" s="14" t="str">
        <x:v>EXP-026</x:v>
      </x:c>
      <x:c r="B19" s="14" t="str">
        <x:v>S03</x:v>
      </x:c>
      <x:c r="C19" s="14" t="str">
        <x:v>오토코리아(OTTO KOREA)</x:v>
      </x:c>
      <x:c r="D19" s="14" t="str">
        <x:v>분리수거·폐기물 보관용기</x:v>
      </x:c>
      <x:c r="E19" s="14" t="str">
        <x:v>대한민국</x:v>
      </x:c>
      <x:c r="F19" s="14" t="str">
        <x:v>폐기물/재활용 용기 제조·공급</x:v>
      </x:c>
      <x:c r="G19" s="14" t="str">
        <x:v>031-989-4466</x:v>
      </x:c>
      <x:c r="H19" s="14" t="str">
        <x:v>sales@ottokorea.com</x:v>
      </x:c>
      <x:c r="I19" s="14" t="str">
        <x:v>A</x:v>
      </x:c>
      <x:c r="J19" s="14" t="str">
        <x:v>공식 홈페이지</x:v>
      </x:c>
      <x:c r="K19" s="14" t="str">
        <x:v>공식 사업/제품 페이지 반복 표기</x:v>
      </x:c>
      <x:c r="L19" s="14" t="str">
        <x:v>영업메일</x:v>
      </x:c>
      <x:c r="M19" s="14" t="str">
        <x:v>미확인</x:v>
      </x:c>
      <x:c r="N19" s="14" t="str">
        <x:v>문의 필요</x:v>
      </x:c>
      <x:c r="O19" s="14" t="str">
        <x:v>문의 필요</x:v>
      </x:c>
      <x:c r="P19" s="14" t="str">
        <x:v>B2B 공급형 공개</x:v>
      </x:c>
      <x:c r="Q19" s="14" t="str">
        <x:v>문의 필요</x:v>
      </x:c>
      <x:c r="R19" s="14" t="str">
        <x:v>문의 필요</x:v>
      </x:c>
      <x:c r="S19" s="14" t="str">
        <x:v>문의 필요</x:v>
      </x:c>
      <x:c r="T19" s="14" t="str">
        <x:v>사전승인 필요(공개 허용 문구 없음)</x:v>
      </x:c>
      <x:c r="U19" s="14" t="n">
        <x:v>52</x:v>
      </x:c>
      <x:c r="V19" s="14" t="str">
        <x:v>N</x:v>
      </x:c>
      <x:c r="W19" s="14" t="str">
        <x:v>N</x:v>
      </x:c>
      <x:c r="X19" s="14" t="str">
        <x:v>Y</x:v>
      </x:c>
      <x:c r="Y19" s="14" t="str">
        <x:v>Y</x:v>
      </x:c>
      <x:c r="Z19" s="14" t="str">
        <x:v>N</x:v>
      </x:c>
      <x:c r="AA19" s="14" t="n">
        <x:f>MAX(20,U19-IF(V19="Y",12,0)-IF(W19="Y",8,0)-IF(X19="Y",8,0)-IF(Y19="Y",8,0)-IF(Z19="Y",6,0))</x:f>
        <x:v>36</x:v>
      </x:c>
      <x:c r="AB19" s="14" t="n">
        <x:v>92</x:v>
      </x:c>
      <x:c r="AC19" s="14" t="n">
        <x:f>ROUND(AB19*0.45+AA19*0.30+IF(I19="A",100,IF(I19="B",85,IF(I19="C",55,IF(I19="CONFLICT",25,35))))*0.20+IF(E19="대한민국",100,25)*0.05,0)</x:f>
        <x:v>77</x:v>
      </x:c>
      <x:c r="AD19" s="14" t="str">
        <x:v>메일발송 가능</x:v>
      </x:c>
      <x:c r="AE19" s="14" t="str">
        <x:v>온라인 리셀러 허용 / 공급가·MOQ / 위탁·직배송 / 설치권역 / A/S 책임 / 제품사진·상세페이지 사용승인 / OEM·PB 가능 여부</x:v>
      </x:c>
      <x:c r="AF19" s="14" t="str">
        <x:v>https://ottokorea.com/our_business</x:v>
      </x:c>
      <x:c r="AG19" s="14" t="str">
        <x:v>동명 패션브랜드가 존재하므로 반드시 ottokorea.com 환경사업 업체 기준.</x:v>
      </x:c>
      <x:c r="AH19" s="14" t="str">
        <x:v>2026-08-13</x:v>
      </x:c>
    </x:row>
    <x:row r="20" ht="54" customHeight="1">
      <x:c r="A20" s="14" t="str">
        <x:v>EXP-029</x:v>
      </x:c>
      <x:c r="B20" s="14" t="str">
        <x:v>S03</x:v>
      </x:c>
      <x:c r="C20" s="14" t="str">
        <x:v>동산테크</x:v>
      </x:c>
      <x:c r="D20" s="14" t="str">
        <x:v>무인택배함</x:v>
      </x:c>
      <x:c r="E20" s="14" t="str">
        <x:v>대한민국</x:v>
      </x:c>
      <x:c r="F20" s="14" t="str">
        <x:v>무인택배함 제조·시스템</x:v>
      </x:c>
      <x:c r="G20" s="14" t="str">
        <x:v>공식 문의경로 확인 필요</x:v>
      </x:c>
      <x:c r="H20" s="14" t="str">
        <x:v>dos7700@hanmail.net / dos7700@daum.net</x:v>
      </x:c>
      <x:c r="I20" s="14" t="str">
        <x:v>CONFLICT</x:v>
      </x:c>
      <x:c r="J20" s="14" t="str">
        <x:v>공식 사이트 일부 페이지: dos7700@hanmail.net</x:v>
      </x:c>
      <x:c r="K20" s="14" t="str">
        <x:v>공식 견적/연락 페이지: dos7700@daum.net</x:v>
      </x:c>
      <x:c r="L20" s="14" t="str">
        <x:v>공식 문의폼+전화로 주소 확정 후 발송</x:v>
      </x:c>
      <x:c r="M20" s="14" t="str">
        <x:v>미확인</x:v>
      </x:c>
      <x:c r="N20" s="14" t="str">
        <x:v>문의 필요</x:v>
      </x:c>
      <x:c r="O20" s="14" t="str">
        <x:v>문의 필요</x:v>
      </x:c>
      <x:c r="P20" s="14" t="str">
        <x:v>문의 필요</x:v>
      </x:c>
      <x:c r="Q20" s="14" t="str">
        <x:v>문의 필요</x:v>
      </x:c>
      <x:c r="R20" s="14" t="str">
        <x:v>문의 필요</x:v>
      </x:c>
      <x:c r="S20" s="14" t="str">
        <x:v>문의 필요</x:v>
      </x:c>
      <x:c r="T20" s="14" t="str">
        <x:v>사전승인 필요(공개 허용 문구 없음)</x:v>
      </x:c>
      <x:c r="U20" s="14" t="n">
        <x:v>70</x:v>
      </x:c>
      <x:c r="V20" s="14" t="str">
        <x:v>N</x:v>
      </x:c>
      <x:c r="W20" s="14" t="str">
        <x:v>N</x:v>
      </x:c>
      <x:c r="X20" s="14" t="str">
        <x:v>Y</x:v>
      </x:c>
      <x:c r="Y20" s="14" t="str">
        <x:v>Y</x:v>
      </x:c>
      <x:c r="Z20" s="14" t="str">
        <x:v>N</x:v>
      </x:c>
      <x:c r="AA20" s="14" t="n">
        <x:f>MAX(20,U20-IF(V20="Y",12,0)-IF(W20="Y",8,0)-IF(X20="Y",8,0)-IF(Y20="Y",8,0)-IF(Z20="Y",6,0))</x:f>
        <x:v>54</x:v>
      </x:c>
      <x:c r="AB20" s="14" t="n">
        <x:v>94</x:v>
      </x:c>
      <x:c r="AC20" s="14" t="n">
        <x:f>ROUND(AB20*0.45+AA20*0.30+IF(I20="A",100,IF(I20="B",85,IF(I20="C",55,IF(I20="CONFLICT",25,35))))*0.20+IF(E20="대한민국",100,25)*0.05,0)</x:f>
        <x:v>69</x:v>
      </x:c>
      <x:c r="AD20" s="14" t="str">
        <x:v>발송 금지-메일충돌</x:v>
      </x:c>
      <x:c r="AE20" s="14" t="str">
        <x:v>온라인 리셀러 허용 / 공급가·MOQ / 위탁·직배송 / 설치권역 / A/S 책임 / 제품사진·상세페이지 사용승인 / OEM·PB 가능 여부</x:v>
      </x:c>
      <x:c r="AF20" s="14" t="str">
        <x:v>https://ds-technology.co.kr/sub/sub02_10.php</x:v>
      </x:c>
      <x:c r="AG20" s="14" t="str">
        <x:v>공식 웹 내부 메일 주소 불일치. 전화/폼으로 현재 수신 주소 확인 필요.</x:v>
      </x:c>
      <x:c r="AH20" s="14" t="str">
        <x:v>2026-08-13</x:v>
      </x:c>
    </x:row>
    <x:row r="21" ht="54" customHeight="1">
      <x:c r="A21" s="14" t="str">
        <x:v>EXP-032</x:v>
      </x:c>
      <x:c r="B21" s="14" t="str">
        <x:v>S04</x:v>
      </x:c>
      <x:c r="C21" s="14" t="str">
        <x:v>원우이엔지</x:v>
      </x:c>
      <x:c r="D21" s="14" t="str">
        <x:v>CCTV 카메라</x:v>
      </x:c>
      <x:c r="E21" s="14" t="str">
        <x:v>대한민국</x:v>
      </x:c>
      <x:c r="F21" s="14" t="str">
        <x:v>CCTV 카메라 제조·판매</x:v>
      </x:c>
      <x:c r="G21" s="14" t="str">
        <x:v>02-3665-3200</x:v>
      </x:c>
      <x:c r="H21" s="14" t="str">
        <x:v>sales@wonwoo.com</x:v>
      </x:c>
      <x:c r="I21" s="14" t="str">
        <x:v>A</x:v>
      </x:c>
      <x:c r="J21" s="14" t="str">
        <x:v>공식 홈페이지</x:v>
      </x:c>
      <x:c r="K21" s="14" t="str">
        <x:v>서울시 High Seoul 공공기업목록 동일 표기</x:v>
      </x:c>
      <x:c r="L21" s="14" t="str">
        <x:v>Sales</x:v>
      </x:c>
      <x:c r="M21" s="14" t="str">
        <x:v>미확인</x:v>
      </x:c>
      <x:c r="N21" s="14" t="str">
        <x:v>문의 필요</x:v>
      </x:c>
      <x:c r="O21" s="14" t="str">
        <x:v>문의 필요</x:v>
      </x:c>
      <x:c r="P21" s="14" t="str">
        <x:v>B2B 제조/판매</x:v>
      </x:c>
      <x:c r="Q21" s="14" t="str">
        <x:v>문의 필요</x:v>
      </x:c>
      <x:c r="R21" s="14" t="str">
        <x:v>문의 필요</x:v>
      </x:c>
      <x:c r="S21" s="14" t="str">
        <x:v>문의 필요</x:v>
      </x:c>
      <x:c r="T21" s="14" t="str">
        <x:v>사전승인 필요(공개 허용 문구 없음)</x:v>
      </x:c>
      <x:c r="U21" s="14" t="n">
        <x:v>62</x:v>
      </x:c>
      <x:c r="V21" s="14" t="str">
        <x:v>Y</x:v>
      </x:c>
      <x:c r="W21" s="14" t="str">
        <x:v>N</x:v>
      </x:c>
      <x:c r="X21" s="14" t="str">
        <x:v>Y</x:v>
      </x:c>
      <x:c r="Y21" s="14" t="str">
        <x:v>N</x:v>
      </x:c>
      <x:c r="Z21" s="14" t="str">
        <x:v>Y</x:v>
      </x:c>
      <x:c r="AA21" s="14" t="n">
        <x:f>MAX(20,U21-IF(V21="Y",12,0)-IF(W21="Y",8,0)-IF(X21="Y",8,0)-IF(Y21="Y",8,0)-IF(Z21="Y",6,0))</x:f>
        <x:v>36</x:v>
      </x:c>
      <x:c r="AB21" s="14" t="n">
        <x:v>97</x:v>
      </x:c>
      <x:c r="AC21" s="14" t="n">
        <x:f>ROUND(AB21*0.45+AA21*0.30+IF(I21="A",100,IF(I21="B",85,IF(I21="C",55,IF(I21="CONFLICT",25,35))))*0.20+IF(E21="대한민국",100,25)*0.05,0)</x:f>
        <x:v>79</x:v>
      </x:c>
      <x:c r="AD21" s="14" t="str">
        <x:v>메일발송 가능</x:v>
      </x:c>
      <x:c r="AE21" s="14" t="str">
        <x:v>온라인 리셀러 허용 / 공급가·MOQ / 위탁·직배송 / 설치권역 / A/S 책임 / 제품사진·상세페이지 사용승인 / OEM·PB 가능 여부</x:v>
      </x:c>
      <x:c r="AF21" s="14" t="str">
        <x:v>https://www.wonwoo.com/</x:v>
      </x:c>
      <x:c r="AG21" s="14" t="str"/>
      <x:c r="AH21" s="14" t="str">
        <x:v>2026-08-13</x:v>
      </x:c>
    </x:row>
    <x:row r="22" ht="54" customHeight="1">
      <x:c r="A22" s="14" t="str">
        <x:v>EXP-033</x:v>
      </x:c>
      <x:c r="B22" s="14" t="str">
        <x:v>S04</x:v>
      </x:c>
      <x:c r="C22" s="14" t="str">
        <x:v>셀링스시스템</x:v>
      </x:c>
      <x:c r="D22" s="14" t="str">
        <x:v>IP카메라·카메라모듈</x:v>
      </x:c>
      <x:c r="E22" s="14" t="str">
        <x:v>대한민국</x:v>
      </x:c>
      <x:c r="F22" s="14" t="str">
        <x:v>IP카메라 R&amp;D·제조</x:v>
      </x:c>
      <x:c r="G22" s="14" t="str">
        <x:v>02-578-9805</x:v>
      </x:c>
      <x:c r="H22" s="14" t="str">
        <x:v>info@cellinx.co.kr</x:v>
      </x:c>
      <x:c r="I22" s="14" t="str">
        <x:v>A</x:v>
      </x:c>
      <x:c r="J22" s="14" t="str">
        <x:v>공식 홈페이지</x:v>
      </x:c>
      <x:c r="K22" s="14" t="str">
        <x:v>공식 A/S·RMA 페이지 동일 표기</x:v>
      </x:c>
      <x:c r="L22" s="14" t="str">
        <x:v>대표메일+RMA/A/S</x:v>
      </x:c>
      <x:c r="M22" s="14" t="str">
        <x:v>미확인</x:v>
      </x:c>
      <x:c r="N22" s="14" t="str">
        <x:v>문의 필요</x:v>
      </x:c>
      <x:c r="O22" s="14" t="str">
        <x:v>문의 필요</x:v>
      </x:c>
      <x:c r="P22" s="14" t="str">
        <x:v>문의 필요</x:v>
      </x:c>
      <x:c r="Q22" s="14" t="str">
        <x:v>문의 필요</x:v>
      </x:c>
      <x:c r="R22" s="14" t="str">
        <x:v>문의 필요</x:v>
      </x:c>
      <x:c r="S22" s="14" t="str">
        <x:v>O(RMA/A/S)</x:v>
      </x:c>
      <x:c r="T22" s="14" t="str">
        <x:v>사전승인 필요(공개 허용 문구 없음)</x:v>
      </x:c>
      <x:c r="U22" s="14" t="n">
        <x:v>72</x:v>
      </x:c>
      <x:c r="V22" s="14" t="str">
        <x:v>N</x:v>
      </x:c>
      <x:c r="W22" s="14" t="str">
        <x:v>N</x:v>
      </x:c>
      <x:c r="X22" s="14" t="str">
        <x:v>Y</x:v>
      </x:c>
      <x:c r="Y22" s="14" t="str">
        <x:v>N</x:v>
      </x:c>
      <x:c r="Z22" s="14" t="str">
        <x:v>Y</x:v>
      </x:c>
      <x:c r="AA22" s="14" t="n">
        <x:f>MAX(20,U22-IF(V22="Y",12,0)-IF(W22="Y",8,0)-IF(X22="Y",8,0)-IF(Y22="Y",8,0)-IF(Z22="Y",6,0))</x:f>
        <x:v>58</x:v>
      </x:c>
      <x:c r="AB22" s="14" t="n">
        <x:v>95</x:v>
      </x:c>
      <x:c r="AC22" s="14" t="n">
        <x:f>ROUND(AB22*0.45+AA22*0.30+IF(I22="A",100,IF(I22="B",85,IF(I22="C",55,IF(I22="CONFLICT",25,35))))*0.20+IF(E22="대한민국",100,25)*0.05,0)</x:f>
        <x:v>85</x:v>
      </x:c>
      <x:c r="AD22" s="14" t="str">
        <x:v>메일발송 가능</x:v>
      </x:c>
      <x:c r="AE22" s="14" t="str">
        <x:v>온라인 리셀러 허용 / 공급가·MOQ / 위탁·직배송 / 설치권역 / A/S 책임 / 제품사진·상세페이지 사용승인 / OEM·PB 가능 여부</x:v>
      </x:c>
      <x:c r="AF22" s="14" t="str">
        <x:v>https://www.cellinx.co.kr/</x:v>
      </x:c>
      <x:c r="AG22" s="14" t="str"/>
      <x:c r="AH22" s="14" t="str">
        <x:v>2026-08-13</x:v>
      </x:c>
    </x:row>
    <x:row r="23" ht="54" customHeight="1">
      <x:c r="A23" s="14" t="str">
        <x:v>EXP-034</x:v>
      </x:c>
      <x:c r="B23" s="14" t="str">
        <x:v>S04</x:v>
      </x:c>
      <x:c r="C23" s="14" t="str">
        <x:v>에이앤티코리아(A&amp;T KOREA)</x:v>
      </x:c>
      <x:c r="D23" s="14" t="str">
        <x:v>영상 IoT·IP카메라</x:v>
      </x:c>
      <x:c r="E23" s="14" t="str">
        <x:v>대한민국</x:v>
      </x:c>
      <x:c r="F23" s="14" t="str">
        <x:v>보안장비 유통·도매·교육·컨설팅</x:v>
      </x:c>
      <x:c r="G23" s="14" t="str">
        <x:v>032-270-6070 / 070-8252-5900</x:v>
      </x:c>
      <x:c r="H23" s="14" t="str">
        <x:v>info@antkr.com</x:v>
      </x:c>
      <x:c r="I23" s="14" t="str">
        <x:v>B</x:v>
      </x:c>
      <x:c r="J23" s="14" t="str">
        <x:v>공식 홈페이지</x:v>
      </x:c>
      <x:c r="K23" s="14" t="str"/>
      <x:c r="L23" s="14" t="str">
        <x:v>대표메일+영업상담</x:v>
      </x:c>
      <x:c r="M23" s="14" t="str">
        <x:v>미확인</x:v>
      </x:c>
      <x:c r="N23" s="14" t="str">
        <x:v>문의 필요</x:v>
      </x:c>
      <x:c r="O23" s="14" t="str">
        <x:v>문의 필요</x:v>
      </x:c>
      <x:c r="P23" s="14" t="str">
        <x:v>O(Distributor/Wholesaler 공개)</x:v>
      </x:c>
      <x:c r="Q23" s="14" t="str">
        <x:v>문의 필요</x:v>
      </x:c>
      <x:c r="R23" s="14" t="str">
        <x:v>문의 필요</x:v>
      </x:c>
      <x:c r="S23" s="14" t="str">
        <x:v>O(Aftercare 공개)</x:v>
      </x:c>
      <x:c r="T23" s="14" t="str">
        <x:v>사전승인 필요(공개 허용 문구 없음)</x:v>
      </x:c>
      <x:c r="U23" s="14" t="n">
        <x:v>76</x:v>
      </x:c>
      <x:c r="V23" s="14" t="str">
        <x:v>N</x:v>
      </x:c>
      <x:c r="W23" s="14" t="str">
        <x:v>N</x:v>
      </x:c>
      <x:c r="X23" s="14" t="str">
        <x:v>Y</x:v>
      </x:c>
      <x:c r="Y23" s="14" t="str">
        <x:v>N</x:v>
      </x:c>
      <x:c r="Z23" s="14" t="str">
        <x:v>Y</x:v>
      </x:c>
      <x:c r="AA23" s="14" t="n">
        <x:f>MAX(20,U23-IF(V23="Y",12,0)-IF(W23="Y",8,0)-IF(X23="Y",8,0)-IF(Y23="Y",8,0)-IF(Z23="Y",6,0))</x:f>
        <x:v>62</x:v>
      </x:c>
      <x:c r="AB23" s="14" t="n">
        <x:v>92</x:v>
      </x:c>
      <x:c r="AC23" s="14" t="n">
        <x:f>ROUND(AB23*0.45+AA23*0.30+IF(I23="A",100,IF(I23="B",85,IF(I23="C",55,IF(I23="CONFLICT",25,35))))*0.20+IF(E23="대한민국",100,25)*0.05,0)</x:f>
        <x:v>82</x:v>
      </x:c>
      <x:c r="AD23" s="14" t="str">
        <x:v>메일발송 가능</x:v>
      </x:c>
      <x:c r="AE23" s="14" t="str">
        <x:v>온라인 리셀러 허용 / 공급가·MOQ / 위탁·직배송 / 설치권역 / A/S 책임 / 제품사진·상세페이지 사용승인 / OEM·PB 가능 여부</x:v>
      </x:c>
      <x:c r="AF23" s="14" t="str">
        <x:v>https://www.antkr.com/</x:v>
      </x:c>
      <x:c r="AG23" s="14" t="str">
        <x:v>초기 제조사 분류를 수정: 공개 기업자료상 Distributor(Wholesaler) 성격.</x:v>
      </x:c>
      <x:c r="AH23" s="14" t="str">
        <x:v>2026-08-13</x:v>
      </x:c>
    </x:row>
    <x:row r="24" ht="54" customHeight="1">
      <x:c r="A24" s="14" t="str">
        <x:v>EXP-038</x:v>
      </x:c>
      <x:c r="B24" s="14" t="str">
        <x:v>S04</x:v>
      </x:c>
      <x:c r="C24" s="14" t="str">
        <x:v>SG전자통신</x:v>
      </x:c>
      <x:c r="D24" s="14" t="str">
        <x:v>디지털도어락·출입</x:v>
      </x:c>
      <x:c r="E24" s="14" t="str">
        <x:v>대한민국</x:v>
      </x:c>
      <x:c r="F24" s="14" t="str">
        <x:v>전자통신/CCTV·출입 제조·서비스</x:v>
      </x:c>
      <x:c r="G24" s="14" t="str">
        <x:v>1577-7818</x:v>
      </x:c>
      <x:c r="H24" s="14" t="str">
        <x:v>sgelect77@daum.net</x:v>
      </x:c>
      <x:c r="I24" s="14" t="str">
        <x:v>B</x:v>
      </x:c>
      <x:c r="J24" s="14" t="str">
        <x:v>공식 홈페이지</x:v>
      </x:c>
      <x:c r="K24" s="14" t="str"/>
      <x:c r="L24" s="14" t="str">
        <x:v>대표메일+전화</x:v>
      </x:c>
      <x:c r="M24" s="14" t="str">
        <x:v>미확인</x:v>
      </x:c>
      <x:c r="N24" s="14" t="str">
        <x:v>문의 필요</x:v>
      </x:c>
      <x:c r="O24" s="14" t="str">
        <x:v>문의 필요</x:v>
      </x:c>
      <x:c r="P24" s="14" t="str">
        <x:v>문의 필요</x:v>
      </x:c>
      <x:c r="Q24" s="14" t="str">
        <x:v>문의 필요</x:v>
      </x:c>
      <x:c r="R24" s="14" t="str">
        <x:v>문의 필요</x:v>
      </x:c>
      <x:c r="S24" s="14" t="str">
        <x:v>O(공동 A/S망 표방)</x:v>
      </x:c>
      <x:c r="T24" s="14" t="str">
        <x:v>사전승인 필요(공개 허용 문구 없음)</x:v>
      </x:c>
      <x:c r="U24" s="14" t="n">
        <x:v>76</x:v>
      </x:c>
      <x:c r="V24" s="14" t="str">
        <x:v>N</x:v>
      </x:c>
      <x:c r="W24" s="14" t="str">
        <x:v>N</x:v>
      </x:c>
      <x:c r="X24" s="14" t="str">
        <x:v>Y</x:v>
      </x:c>
      <x:c r="Y24" s="14" t="str">
        <x:v>N</x:v>
      </x:c>
      <x:c r="Z24" s="14" t="str">
        <x:v>Y</x:v>
      </x:c>
      <x:c r="AA24" s="14" t="n">
        <x:f>MAX(20,U24-IF(V24="Y",12,0)-IF(W24="Y",8,0)-IF(X24="Y",8,0)-IF(Y24="Y",8,0)-IF(Z24="Y",6,0))</x:f>
        <x:v>62</x:v>
      </x:c>
      <x:c r="AB24" s="14" t="n">
        <x:v>92</x:v>
      </x:c>
      <x:c r="AC24" s="14" t="n">
        <x:f>ROUND(AB24*0.45+AA24*0.30+IF(I24="A",100,IF(I24="B",85,IF(I24="C",55,IF(I24="CONFLICT",25,35))))*0.20+IF(E24="대한민국",100,25)*0.05,0)</x:f>
        <x:v>82</x:v>
      </x:c>
      <x:c r="AD24" s="14" t="str">
        <x:v>메일발송 가능</x:v>
      </x:c>
      <x:c r="AE24" s="14" t="str">
        <x:v>온라인 리셀러 허용 / 공급가·MOQ / 위탁·직배송 / 설치권역 / A/S 책임 / 제품사진·상세페이지 사용승인 / OEM·PB 가능 여부</x:v>
      </x:c>
      <x:c r="AF24" s="14" t="str">
        <x:v>https://sgelect.com/?page_id=965</x:v>
      </x:c>
      <x:c r="AG24" s="14" t="str"/>
      <x:c r="AH24" s="14" t="str">
        <x:v>2026-08-13</x:v>
      </x:c>
    </x:row>
    <x:row r="25" ht="54" customHeight="1">
      <x:c r="A25" s="14" t="str">
        <x:v>EXP-040</x:v>
      </x:c>
      <x:c r="B25" s="14" t="str">
        <x:v>S04</x:v>
      </x:c>
      <x:c r="C25" s="14" t="str">
        <x:v>스마텍전자</x:v>
      </x:c>
      <x:c r="D25" s="14" t="str">
        <x:v>스마트홈 컨트롤·OEM/ODM</x:v>
      </x:c>
      <x:c r="E25" s="14" t="str">
        <x:v>중국</x:v>
      </x:c>
      <x:c r="F25" s="14" t="str">
        <x:v>OEM/ODM 제조</x:v>
      </x:c>
      <x:c r="G25" s="14" t="str">
        <x:v>+86 13728752243</x:v>
      </x:c>
      <x:c r="H25" s="14" t="str">
        <x:v>info@smatek.com</x:v>
      </x:c>
      <x:c r="I25" s="14" t="str">
        <x:v>A</x:v>
      </x:c>
      <x:c r="J25" s="14" t="str">
        <x:v>공식 회사페이지</x:v>
      </x:c>
      <x:c r="K25" s="14" t="str">
        <x:v>공식 제품/PDF 반복 표기</x:v>
      </x:c>
      <x:c r="L25" s="14" t="str">
        <x:v>OEM/ODM 문의</x:v>
      </x:c>
      <x:c r="M25" s="14" t="str">
        <x:v>미확인</x:v>
      </x:c>
      <x:c r="N25" s="14" t="str">
        <x:v>문의 필요</x:v>
      </x:c>
      <x:c r="O25" s="14" t="str">
        <x:v>문의 필요</x:v>
      </x:c>
      <x:c r="P25" s="14" t="str">
        <x:v>B2B 제조</x:v>
      </x:c>
      <x:c r="Q25" s="14" t="str">
        <x:v>O(공식 OEM/ODM 서비스)</x:v>
      </x:c>
      <x:c r="R25" s="14" t="str">
        <x:v>문의 필요</x:v>
      </x:c>
      <x:c r="S25" s="14" t="str">
        <x:v>문의 필요</x:v>
      </x:c>
      <x:c r="T25" s="14" t="str">
        <x:v>사전승인 필요</x:v>
      </x:c>
      <x:c r="U25" s="14" t="n">
        <x:v>66</x:v>
      </x:c>
      <x:c r="V25" s="14" t="str">
        <x:v>N</x:v>
      </x:c>
      <x:c r="W25" s="14" t="str">
        <x:v>N</x:v>
      </x:c>
      <x:c r="X25" s="14" t="str">
        <x:v>Y</x:v>
      </x:c>
      <x:c r="Y25" s="14" t="str">
        <x:v>N</x:v>
      </x:c>
      <x:c r="Z25" s="14" t="str">
        <x:v>N</x:v>
      </x:c>
      <x:c r="AA25" s="14" t="n">
        <x:f>MAX(20,U25-IF(V25="Y",12,0)-IF(W25="Y",8,0)-IF(X25="Y",8,0)-IF(Y25="Y",8,0)-IF(Z25="Y",6,0))</x:f>
        <x:v>58</x:v>
      </x:c>
      <x:c r="AB25" s="14" t="n">
        <x:v>94</x:v>
      </x:c>
      <x:c r="AC25" s="14" t="n">
        <x:f>ROUND(AB25*0.45+AA25*0.30+IF(I25="A",100,IF(I25="B",85,IF(I25="C",55,IF(I25="CONFLICT",25,35))))*0.20+IF(E25="대한민국",100,25)*0.05,0)</x:f>
        <x:v>81</x:v>
      </x:c>
      <x:c r="AD25" s="14" t="str">
        <x:v>해외후보-국내 풀 분리</x:v>
      </x:c>
      <x:c r="AE25" s="14" t="str">
        <x:v>온라인 리셀러 허용 / 공급가·MOQ / 위탁·직배송 / 설치권역 / A/S 책임 / 제품사진·상세페이지 사용승인 / OEM·PB 가능 여부</x:v>
      </x:c>
      <x:c r="AF25" s="14" t="str">
        <x:v>https://smatek.com/ko/oem-odm-services/</x:v>
      </x:c>
      <x:c r="AG25" s="14" t="str">
        <x:v>한국 중소기업이 아니라 중국 본사 OEM/ODM 업체. 국내 공급망/인증/수입주체 확인 전 국내 파트너로 계산하지 않음.</x:v>
      </x:c>
      <x:c r="AH25" s="14" t="str">
        <x:v>2026-08-13</x:v>
      </x:c>
    </x:row>
    <x:row r="26" ht="54" customHeight="1">
      <x:c r="A26" s="14" t="str">
        <x:v>EXP-041</x:v>
      </x:c>
      <x:c r="B26" s="14" t="str">
        <x:v>S05</x:v>
      </x:c>
      <x:c r="C26" s="14" t="str">
        <x:v>오스카프로덕트</x:v>
      </x:c>
      <x:c r="D26" s="14" t="str">
        <x:v>시스템퍼골라</x:v>
      </x:c>
      <x:c r="E26" s="14" t="str">
        <x:v>대한민국</x:v>
      </x:c>
      <x:c r="F26" s="14" t="str">
        <x:v>시스템퍼골라 제조·시공</x:v>
      </x:c>
      <x:c r="G26" s="14" t="str">
        <x:v>1800-5945</x:v>
      </x:c>
      <x:c r="H26" s="14" t="str">
        <x:v>office@oska.co.kr</x:v>
      </x:c>
      <x:c r="I26" s="14" t="str">
        <x:v>A</x:v>
      </x:c>
      <x:c r="J26" s="14" t="str">
        <x:v>공식 회사/글로벌 연락처</x:v>
      </x:c>
      <x:c r="K26" s="14" t="str">
        <x:v>공식 뉴스레터/연락 페이지 동일 표기</x:v>
      </x:c>
      <x:c r="L26" s="14" t="str">
        <x:v>대표메일+Partnership</x:v>
      </x:c>
      <x:c r="M26" s="14" t="str">
        <x:v>미확인</x:v>
      </x:c>
      <x:c r="N26" s="14" t="str">
        <x:v>문의 필요</x:v>
      </x:c>
      <x:c r="O26" s="14" t="str">
        <x:v>문의 필요</x:v>
      </x:c>
      <x:c r="P26" s="14" t="str">
        <x:v>협력사/Partnership 공개</x:v>
      </x:c>
      <x:c r="Q26" s="14" t="str">
        <x:v>문의 필요</x:v>
      </x:c>
      <x:c r="R26" s="14" t="str">
        <x:v>전국 시공 표방</x:v>
      </x:c>
      <x:c r="S26" s="14" t="str">
        <x:v>문의 필요</x:v>
      </x:c>
      <x:c r="T26" s="14" t="str">
        <x:v>사전승인 필요(공개 허용 문구 없음)</x:v>
      </x:c>
      <x:c r="U26" s="14" t="n">
        <x:v>58</x:v>
      </x:c>
      <x:c r="V26" s="14" t="str">
        <x:v>Y</x:v>
      </x:c>
      <x:c r="W26" s="14" t="str">
        <x:v>N</x:v>
      </x:c>
      <x:c r="X26" s="14" t="str">
        <x:v>Y</x:v>
      </x:c>
      <x:c r="Y26" s="14" t="str">
        <x:v>Y</x:v>
      </x:c>
      <x:c r="Z26" s="14" t="str">
        <x:v>N</x:v>
      </x:c>
      <x:c r="AA26" s="14" t="n">
        <x:f>MAX(20,U26-IF(V26="Y",12,0)-IF(W26="Y",8,0)-IF(X26="Y",8,0)-IF(Y26="Y",8,0)-IF(Z26="Y",6,0))</x:f>
        <x:v>30</x:v>
      </x:c>
      <x:c r="AB26" s="14" t="n">
        <x:v>95</x:v>
      </x:c>
      <x:c r="AC26" s="14" t="n">
        <x:f>ROUND(AB26*0.45+AA26*0.30+IF(I26="A",100,IF(I26="B",85,IF(I26="C",55,IF(I26="CONFLICT",25,35))))*0.20+IF(E26="대한민국",100,25)*0.05,0)</x:f>
        <x:v>77</x:v>
      </x:c>
      <x:c r="AD26" s="14" t="str">
        <x:v>메일발송 가능</x:v>
      </x:c>
      <x:c r="AE26" s="14" t="str">
        <x:v>온라인 리셀러 허용 / 공급가·MOQ / 위탁·직배송 / 설치권역 / A/S 책임 / 제품사진·상세페이지 사용승인 / OEM·PB 가능 여부</x:v>
      </x:c>
      <x:c r="AF26" s="14" t="str">
        <x:v>https://oska.co.kr/</x:v>
      </x:c>
      <x:c r="AG26" s="14" t="str">
        <x:v>과거 oskaproduct@daum.net도 보이나 현재 office@oska.co.kr 우선.</x:v>
      </x:c>
      <x:c r="AH26" s="14" t="str">
        <x:v>2026-08-13</x:v>
      </x:c>
    </x:row>
    <x:row r="27" ht="54" customHeight="1">
      <x:c r="A27" s="14" t="str">
        <x:v>EXP-042</x:v>
      </x:c>
      <x:c r="B27" s="14" t="str">
        <x:v>S05</x:v>
      </x:c>
      <x:c r="C27" s="14" t="str">
        <x:v>썬베스트</x:v>
      </x:c>
      <x:c r="D27" s="14" t="str">
        <x:v>스카이어닝·시스템퍼골라</x:v>
      </x:c>
      <x:c r="E27" s="14" t="str">
        <x:v>대한민국</x:v>
      </x:c>
      <x:c r="F27" s="14" t="str">
        <x:v>차양·퍼골라 제작·시공</x:v>
      </x:c>
      <x:c r="G27" s="14" t="str">
        <x:v>02-521-1170 / 010-6351-5113</x:v>
      </x:c>
      <x:c r="H27" s="14" t="str">
        <x:v>sunbest2013@naver.com</x:v>
      </x:c>
      <x:c r="I27" s="14" t="str">
        <x:v>A</x:v>
      </x:c>
      <x:c r="J27" s="14" t="str">
        <x:v>공식 홈페이지</x:v>
      </x:c>
      <x:c r="K27" s="14" t="str">
        <x:v>공식 시공/회사 페이지 반복 표기</x:v>
      </x:c>
      <x:c r="L27" s="14" t="str">
        <x:v>대표메일+전화</x:v>
      </x:c>
      <x:c r="M27" s="14" t="str">
        <x:v>미확인</x:v>
      </x:c>
      <x:c r="N27" s="14" t="str">
        <x:v>문의 필요</x:v>
      </x:c>
      <x:c r="O27" s="14" t="str">
        <x:v>문의 필요</x:v>
      </x:c>
      <x:c r="P27" s="14" t="str">
        <x:v>문의 필요</x:v>
      </x:c>
      <x:c r="Q27" s="14" t="str">
        <x:v>문의 필요</x:v>
      </x:c>
      <x:c r="R27" s="14" t="str">
        <x:v>문의 필요</x:v>
      </x:c>
      <x:c r="S27" s="14" t="str">
        <x:v>문의 필요</x:v>
      </x:c>
      <x:c r="T27" s="14" t="str">
        <x:v>사전승인 필요(공개 허용 문구 없음)</x:v>
      </x:c>
      <x:c r="U27" s="14" t="n">
        <x:v>78</x:v>
      </x:c>
      <x:c r="V27" s="14" t="str">
        <x:v>N</x:v>
      </x:c>
      <x:c r="W27" s="14" t="str">
        <x:v>N</x:v>
      </x:c>
      <x:c r="X27" s="14" t="str">
        <x:v>Y</x:v>
      </x:c>
      <x:c r="Y27" s="14" t="str">
        <x:v>Y</x:v>
      </x:c>
      <x:c r="Z27" s="14" t="str">
        <x:v>N</x:v>
      </x:c>
      <x:c r="AA27" s="14" t="n">
        <x:f>MAX(20,U27-IF(V27="Y",12,0)-IF(W27="Y",8,0)-IF(X27="Y",8,0)-IF(Y27="Y",8,0)-IF(Z27="Y",6,0))</x:f>
        <x:v>62</x:v>
      </x:c>
      <x:c r="AB27" s="14" t="n">
        <x:v>91</x:v>
      </x:c>
      <x:c r="AC27" s="14" t="n">
        <x:f>ROUND(AB27*0.45+AA27*0.30+IF(I27="A",100,IF(I27="B",85,IF(I27="C",55,IF(I27="CONFLICT",25,35))))*0.20+IF(E27="대한민국",100,25)*0.05,0)</x:f>
        <x:v>85</x:v>
      </x:c>
      <x:c r="AD27" s="14" t="str">
        <x:v>메일발송 가능</x:v>
      </x:c>
      <x:c r="AE27" s="14" t="str">
        <x:v>온라인 리셀러 허용 / 공급가·MOQ / 위탁·직배송 / 설치권역 / A/S 책임 / 제품사진·상세페이지 사용승인 / OEM·PB 가능 여부</x:v>
      </x:c>
      <x:c r="AF27" s="14" t="str">
        <x:v>https://sunbest.co.kr/bizdemo94552/home/portfolio/page0601.php</x:v>
      </x:c>
      <x:c r="AG27" s="14" t="str"/>
      <x:c r="AH27" s="14" t="str">
        <x:v>2026-08-13</x:v>
      </x:c>
    </x:row>
    <x:row r="28" ht="54" customHeight="1">
      <x:c r="A28" s="14" t="str">
        <x:v>EXP-043</x:v>
      </x:c>
      <x:c r="B28" s="14" t="str">
        <x:v>S05</x:v>
      </x:c>
      <x:c r="C28" s="14" t="str">
        <x:v>넥스트루버</x:v>
      </x:c>
      <x:c r="D28" s="14" t="str">
        <x:v>시스템퍼골라·루버</x:v>
      </x:c>
      <x:c r="E28" s="14" t="str">
        <x:v>대한민국</x:v>
      </x:c>
      <x:c r="F28" s="14" t="str">
        <x:v>루버·시스템퍼골라 제작·시공</x:v>
      </x:c>
      <x:c r="G28" s="14" t="str">
        <x:v>031-444-7119 / 010-4157-8119</x:v>
      </x:c>
      <x:c r="H28" s="14" t="str">
        <x:v>nextdeco@next700.com</x:v>
      </x:c>
      <x:c r="I28" s="14" t="str">
        <x:v>A</x:v>
      </x:c>
      <x:c r="J28" s="14" t="str">
        <x:v>공식 홈페이지</x:v>
      </x:c>
      <x:c r="K28" s="14" t="str">
        <x:v>공식 제품/시공 페이지 반복 표기</x:v>
      </x:c>
      <x:c r="L28" s="14" t="str">
        <x:v>대표메일+전화</x:v>
      </x:c>
      <x:c r="M28" s="14" t="str">
        <x:v>미확인</x:v>
      </x:c>
      <x:c r="N28" s="14" t="str">
        <x:v>문의 필요</x:v>
      </x:c>
      <x:c r="O28" s="14" t="str">
        <x:v>문의 필요</x:v>
      </x:c>
      <x:c r="P28" s="14" t="str">
        <x:v>문의 필요</x:v>
      </x:c>
      <x:c r="Q28" s="14" t="str">
        <x:v>문의 필요</x:v>
      </x:c>
      <x:c r="R28" s="14" t="str">
        <x:v>문의 필요</x:v>
      </x:c>
      <x:c r="S28" s="14" t="str">
        <x:v>문의 필요</x:v>
      </x:c>
      <x:c r="T28" s="14" t="str">
        <x:v>사전승인 필요(공개 허용 문구 없음)</x:v>
      </x:c>
      <x:c r="U28" s="14" t="n">
        <x:v>82</x:v>
      </x:c>
      <x:c r="V28" s="14" t="str">
        <x:v>N</x:v>
      </x:c>
      <x:c r="W28" s="14" t="str">
        <x:v>N</x:v>
      </x:c>
      <x:c r="X28" s="14" t="str">
        <x:v>Y</x:v>
      </x:c>
      <x:c r="Y28" s="14" t="str">
        <x:v>Y</x:v>
      </x:c>
      <x:c r="Z28" s="14" t="str">
        <x:v>N</x:v>
      </x:c>
      <x:c r="AA28" s="14" t="n">
        <x:f>MAX(20,U28-IF(V28="Y",12,0)-IF(W28="Y",8,0)-IF(X28="Y",8,0)-IF(Y28="Y",8,0)-IF(Z28="Y",6,0))</x:f>
        <x:v>66</x:v>
      </x:c>
      <x:c r="AB28" s="14" t="n">
        <x:v>92</x:v>
      </x:c>
      <x:c r="AC28" s="14" t="n">
        <x:f>ROUND(AB28*0.45+AA28*0.30+IF(I28="A",100,IF(I28="B",85,IF(I28="C",55,IF(I28="CONFLICT",25,35))))*0.20+IF(E28="대한민국",100,25)*0.05,0)</x:f>
        <x:v>86</x:v>
      </x:c>
      <x:c r="AD28" s="14" t="str">
        <x:v>메일발송 가능</x:v>
      </x:c>
      <x:c r="AE28" s="14" t="str">
        <x:v>온라인 리셀러 허용 / 공급가·MOQ / 위탁·직배송 / 설치권역 / A/S 책임 / 제품사진·상세페이지 사용승인 / OEM·PB 가능 여부</x:v>
      </x:c>
      <x:c r="AF28" s="14" t="str">
        <x:v>https://nextlouver.com/파고라루바-시스템파고라-합성목재루바-시공사례/</x:v>
      </x:c>
      <x:c r="AG28" s="14" t="str"/>
      <x:c r="AH28" s="14" t="str">
        <x:v>2026-08-13</x:v>
      </x:c>
    </x:row>
    <x:row r="29" ht="54" customHeight="1">
      <x:c r="A29" s="14" t="str">
        <x:v>EXP-044</x:v>
      </x:c>
      <x:c r="B29" s="14" t="str">
        <x:v>S05</x:v>
      </x:c>
      <x:c r="C29" s="14" t="str">
        <x:v>테라움 퍼골라</x:v>
      </x:c>
      <x:c r="D29" s="14" t="str">
        <x:v>전동 시스템퍼골라</x:v>
      </x:c>
      <x:c r="E29" s="14" t="str">
        <x:v>대한민국</x:v>
      </x:c>
      <x:c r="F29" s="14" t="str">
        <x:v>시스템퍼골라 공급·시공</x:v>
      </x:c>
      <x:c r="G29" s="14" t="str">
        <x:v>02-2659-1772</x:v>
      </x:c>
      <x:c r="H29" s="14" t="str">
        <x:v>info@terraum.kr</x:v>
      </x:c>
      <x:c r="I29" s="14" t="str">
        <x:v>A</x:v>
      </x:c>
      <x:c r="J29" s="14" t="str">
        <x:v>공식 홈페이지</x:v>
      </x:c>
      <x:c r="K29" s="14" t="str">
        <x:v>공식 제품 페이지 동일 표기</x:v>
      </x:c>
      <x:c r="L29" s="14" t="str">
        <x:v>대표메일+상담</x:v>
      </x:c>
      <x:c r="M29" s="14" t="str">
        <x:v>미확인</x:v>
      </x:c>
      <x:c r="N29" s="14" t="str">
        <x:v>문의 필요</x:v>
      </x:c>
      <x:c r="O29" s="14" t="str">
        <x:v>문의 필요</x:v>
      </x:c>
      <x:c r="P29" s="14" t="str">
        <x:v>문의 필요</x:v>
      </x:c>
      <x:c r="Q29" s="14" t="str">
        <x:v>문의 필요</x:v>
      </x:c>
      <x:c r="R29" s="14" t="str">
        <x:v>문의 필요</x:v>
      </x:c>
      <x:c r="S29" s="14" t="str">
        <x:v>문의 필요</x:v>
      </x:c>
      <x:c r="T29" s="14" t="str">
        <x:v>사전승인 필요(공개 허용 문구 없음)</x:v>
      </x:c>
      <x:c r="U29" s="14" t="n">
        <x:v>74</x:v>
      </x:c>
      <x:c r="V29" s="14" t="str">
        <x:v>N</x:v>
      </x:c>
      <x:c r="W29" s="14" t="str">
        <x:v>N</x:v>
      </x:c>
      <x:c r="X29" s="14" t="str">
        <x:v>Y</x:v>
      </x:c>
      <x:c r="Y29" s="14" t="str">
        <x:v>Y</x:v>
      </x:c>
      <x:c r="Z29" s="14" t="str">
        <x:v>N</x:v>
      </x:c>
      <x:c r="AA29" s="14" t="n">
        <x:f>MAX(20,U29-IF(V29="Y",12,0)-IF(W29="Y",8,0)-IF(X29="Y",8,0)-IF(Y29="Y",8,0)-IF(Z29="Y",6,0))</x:f>
        <x:v>58</x:v>
      </x:c>
      <x:c r="AB29" s="14" t="n">
        <x:v>90</x:v>
      </x:c>
      <x:c r="AC29" s="14" t="n">
        <x:f>ROUND(AB29*0.45+AA29*0.30+IF(I29="A",100,IF(I29="B",85,IF(I29="C",55,IF(I29="CONFLICT",25,35))))*0.20+IF(E29="대한민국",100,25)*0.05,0)</x:f>
        <x:v>83</x:v>
      </x:c>
      <x:c r="AD29" s="14" t="str">
        <x:v>메일발송 가능</x:v>
      </x:c>
      <x:c r="AE29" s="14" t="str">
        <x:v>온라인 리셀러 허용 / 공급가·MOQ / 위탁·직배송 / 설치권역 / A/S 책임 / 제품사진·상세페이지 사용승인 / OEM·PB 가능 여부</x:v>
      </x:c>
      <x:c r="AF29" s="14" t="str">
        <x:v>https://terraum-pergola.kr/ares</x:v>
      </x:c>
      <x:c r="AG29" s="14" t="str"/>
      <x:c r="AH29" s="14" t="str">
        <x:v>2026-08-13</x:v>
      </x:c>
    </x:row>
    <x:row r="30" ht="54" customHeight="1">
      <x:c r="A30" s="14" t="str">
        <x:v>EXP-045</x:v>
      </x:c>
      <x:c r="B30" s="14" t="str">
        <x:v>S05</x:v>
      </x:c>
      <x:c r="C30" s="14" t="str">
        <x:v>우드24</x:v>
      </x:c>
      <x:c r="D30" s="14" t="str">
        <x:v>데크·퍼골라·목재</x:v>
      </x:c>
      <x:c r="E30" s="14" t="str">
        <x:v>대한민국</x:v>
      </x:c>
      <x:c r="F30" s="14" t="str">
        <x:v>목재/데크 자재 공급·시공</x:v>
      </x:c>
      <x:c r="G30" s="14" t="str">
        <x:v>1644-6472 / 010-3136-6472</x:v>
      </x:c>
      <x:c r="H30" s="14" t="str">
        <x:v>wood-24@naver.com</x:v>
      </x:c>
      <x:c r="I30" s="14" t="str">
        <x:v>A</x:v>
      </x:c>
      <x:c r="J30" s="14" t="str">
        <x:v>공식 홈페이지</x:v>
      </x:c>
      <x:c r="K30" s="14" t="str">
        <x:v>공식 SNS 동일 업체/연락망 확인</x:v>
      </x:c>
      <x:c r="L30" s="14" t="str">
        <x:v>대표메일+전화</x:v>
      </x:c>
      <x:c r="M30" s="14" t="str">
        <x:v>O</x:v>
      </x:c>
      <x:c r="N30" s="14" t="str">
        <x:v>문의 필요</x:v>
      </x:c>
      <x:c r="O30" s="14" t="str">
        <x:v>문의 필요</x:v>
      </x:c>
      <x:c r="P30" s="14" t="str">
        <x:v>업체 납품 공개</x:v>
      </x:c>
      <x:c r="Q30" s="14" t="str">
        <x:v>문의 필요</x:v>
      </x:c>
      <x:c r="R30" s="14" t="str">
        <x:v>전국 공급/시공 사례</x:v>
      </x:c>
      <x:c r="S30" s="14" t="str">
        <x:v>문의 필요</x:v>
      </x:c>
      <x:c r="T30" s="14" t="str">
        <x:v>사전승인 필요(공개 허용 문구 없음)</x:v>
      </x:c>
      <x:c r="U30" s="14" t="n">
        <x:v>52</x:v>
      </x:c>
      <x:c r="V30" s="14" t="str">
        <x:v>N</x:v>
      </x:c>
      <x:c r="W30" s="14" t="str">
        <x:v>Y</x:v>
      </x:c>
      <x:c r="X30" s="14" t="str">
        <x:v>Y</x:v>
      </x:c>
      <x:c r="Y30" s="14" t="str">
        <x:v>Y</x:v>
      </x:c>
      <x:c r="Z30" s="14" t="str">
        <x:v>N</x:v>
      </x:c>
      <x:c r="AA30" s="14" t="n">
        <x:f>MAX(20,U30-IF(V30="Y",12,0)-IF(W30="Y",8,0)-IF(X30="Y",8,0)-IF(Y30="Y",8,0)-IF(Z30="Y",6,0))</x:f>
        <x:v>28</x:v>
      </x:c>
      <x:c r="AB30" s="14" t="n">
        <x:v>94</x:v>
      </x:c>
      <x:c r="AC30" s="14" t="n">
        <x:f>ROUND(AB30*0.45+AA30*0.30+IF(I30="A",100,IF(I30="B",85,IF(I30="C",55,IF(I30="CONFLICT",25,35))))*0.20+IF(E30="대한민국",100,25)*0.05,0)</x:f>
        <x:v>76</x:v>
      </x:c>
      <x:c r="AD30" s="14" t="str">
        <x:v>메일발송 가능</x:v>
      </x:c>
      <x:c r="AE30" s="14" t="str">
        <x:v>온라인 리셀러 허용 / 공급가·MOQ / 위탁·직배송 / 설치권역 / A/S 책임 / 제품사진·상세페이지 사용승인 / OEM·PB 가능 여부</x:v>
      </x:c>
      <x:c r="AF30" s="14" t="str">
        <x:v>https://wood24.kr/case</x:v>
      </x:c>
      <x:c r="AG30" s="14" t="str"/>
      <x:c r="AH30" s="14" t="str">
        <x:v>2026-08-13</x:v>
      </x:c>
    </x:row>
    <x:row r="31" ht="54" customHeight="1">
      <x:c r="A31" s="14" t="str">
        <x:v>EXP-046</x:v>
      </x:c>
      <x:c r="B31" s="14" t="str">
        <x:v>S05</x:v>
      </x:c>
      <x:c r="C31" s="14" t="str">
        <x:v>경동산업 / 예스팀바</x:v>
      </x:c>
      <x:c r="D31" s="14" t="str">
        <x:v>합성목재·데크·펜스</x:v>
      </x:c>
      <x:c r="E31" s="14" t="str">
        <x:v>대한민국</x:v>
      </x:c>
      <x:c r="F31" s="14" t="str">
        <x:v>WPC 합성목재 직접제조</x:v>
      </x:c>
      <x:c r="G31" s="14" t="str">
        <x:v>1660-3755</x:v>
      </x:c>
      <x:c r="H31" s="14" t="str">
        <x:v>kdpvc@hanmail.net</x:v>
      </x:c>
      <x:c r="I31" s="14" t="str">
        <x:v>A</x:v>
      </x:c>
      <x:c r="J31" s="14" t="str">
        <x:v>공식 홈페이지</x:v>
      </x:c>
      <x:c r="K31" s="14" t="str">
        <x:v>공식 SNS 동일 표기</x:v>
      </x:c>
      <x:c r="L31" s="14" t="str">
        <x:v>대표메일+전화</x:v>
      </x:c>
      <x:c r="M31" s="14" t="str">
        <x:v>미확인</x:v>
      </x:c>
      <x:c r="N31" s="14" t="str">
        <x:v>문의 필요</x:v>
      </x:c>
      <x:c r="O31" s="14" t="str">
        <x:v>문의 필요</x:v>
      </x:c>
      <x:c r="P31" s="14" t="str">
        <x:v>B2B 공급 문의 가치 높음</x:v>
      </x:c>
      <x:c r="Q31" s="14" t="str">
        <x:v>문의 필요(직접제조)</x:v>
      </x:c>
      <x:c r="R31" s="14" t="str">
        <x:v>문의 필요</x:v>
      </x:c>
      <x:c r="S31" s="14" t="str">
        <x:v>문의 필요</x:v>
      </x:c>
      <x:c r="T31" s="14" t="str">
        <x:v>사전승인 필요(공개 허용 문구 없음)</x:v>
      </x:c>
      <x:c r="U31" s="14" t="n">
        <x:v>48</x:v>
      </x:c>
      <x:c r="V31" s="14" t="str">
        <x:v>N</x:v>
      </x:c>
      <x:c r="W31" s="14" t="str">
        <x:v>N</x:v>
      </x:c>
      <x:c r="X31" s="14" t="str">
        <x:v>Y</x:v>
      </x:c>
      <x:c r="Y31" s="14" t="str">
        <x:v>Y</x:v>
      </x:c>
      <x:c r="Z31" s="14" t="str">
        <x:v>N</x:v>
      </x:c>
      <x:c r="AA31" s="14" t="n">
        <x:f>MAX(20,U31-IF(V31="Y",12,0)-IF(W31="Y",8,0)-IF(X31="Y",8,0)-IF(Y31="Y",8,0)-IF(Z31="Y",6,0))</x:f>
        <x:v>32</x:v>
      </x:c>
      <x:c r="AB31" s="14" t="n">
        <x:v>97</x:v>
      </x:c>
      <x:c r="AC31" s="14" t="n">
        <x:f>ROUND(AB31*0.45+AA31*0.30+IF(I31="A",100,IF(I31="B",85,IF(I31="C",55,IF(I31="CONFLICT",25,35))))*0.20+IF(E31="대한민국",100,25)*0.05,0)</x:f>
        <x:v>78</x:v>
      </x:c>
      <x:c r="AD31" s="14" t="str">
        <x:v>메일발송 가능</x:v>
      </x:c>
      <x:c r="AE31" s="14" t="str">
        <x:v>온라인 리셀러 허용 / 공급가·MOQ / 위탁·직배송 / 설치권역 / A/S 책임 / 제품사진·상세페이지 사용승인 / OEM·PB 가능 여부</x:v>
      </x:c>
      <x:c r="AF31" s="14" t="str">
        <x:v>https://yestimber.com/</x:v>
      </x:c>
      <x:c r="AG31" s="14" t="str"/>
      <x:c r="AH31" s="14" t="str">
        <x:v>2026-08-13</x:v>
      </x:c>
    </x:row>
    <x:row r="32" ht="54" customHeight="1">
      <x:c r="A32" s="14" t="str">
        <x:v>EXP-047</x:v>
      </x:c>
      <x:c r="B32" s="14" t="str">
        <x:v>S05</x:v>
      </x:c>
      <x:c r="C32" s="14" t="str">
        <x:v>오스토(OSTO)</x:v>
      </x:c>
      <x:c r="D32" s="14" t="str">
        <x:v>B2B 야외가구</x:v>
      </x:c>
      <x:c r="E32" s="14" t="str">
        <x:v>대한민국</x:v>
      </x:c>
      <x:c r="F32" s="14" t="str">
        <x:v>아웃도어가구 B2B·맞춤</x:v>
      </x:c>
      <x:c r="G32" s="14" t="str">
        <x:v>031-8027-6723</x:v>
      </x:c>
      <x:c r="H32" s="14" t="str">
        <x:v>info@osto.co.kr</x:v>
      </x:c>
      <x:c r="I32" s="14" t="str">
        <x:v>B</x:v>
      </x:c>
      <x:c r="J32" s="14" t="str">
        <x:v>공식 개인정보/회사 페이지</x:v>
      </x:c>
      <x:c r="K32" s="14" t="str"/>
      <x:c r="L32" s="14" t="str">
        <x:v>온라인사업부 / 담당자 권병호</x:v>
      </x:c>
      <x:c r="M32" s="14" t="str">
        <x:v>O</x:v>
      </x:c>
      <x:c r="N32" s="14" t="str">
        <x:v>문의 필요</x:v>
      </x:c>
      <x:c r="O32" s="14" t="str">
        <x:v>문의 필요</x:v>
      </x:c>
      <x:c r="P32" s="14" t="str">
        <x:v>O(B2B 메뉴/견적)</x:v>
      </x:c>
      <x:c r="Q32" s="14" t="str">
        <x:v>문의 필요</x:v>
      </x:c>
      <x:c r="R32" s="14" t="str">
        <x:v>문의 필요</x:v>
      </x:c>
      <x:c r="S32" s="14" t="str">
        <x:v>문의 필요</x:v>
      </x:c>
      <x:c r="T32" s="14" t="str">
        <x:v>사전승인 필요(공개 허용 문구 없음)</x:v>
      </x:c>
      <x:c r="U32" s="14" t="n">
        <x:v>66</x:v>
      </x:c>
      <x:c r="V32" s="14" t="str">
        <x:v>Y</x:v>
      </x:c>
      <x:c r="W32" s="14" t="str">
        <x:v>Y</x:v>
      </x:c>
      <x:c r="X32" s="14" t="str">
        <x:v>Y</x:v>
      </x:c>
      <x:c r="Y32" s="14" t="str">
        <x:v>N</x:v>
      </x:c>
      <x:c r="Z32" s="14" t="str">
        <x:v>Y</x:v>
      </x:c>
      <x:c r="AA32" s="14" t="n">
        <x:f>MAX(20,U32-IF(V32="Y",12,0)-IF(W32="Y",8,0)-IF(X32="Y",8,0)-IF(Y32="Y",8,0)-IF(Z32="Y",6,0))</x:f>
        <x:v>32</x:v>
      </x:c>
      <x:c r="AB32" s="14" t="n">
        <x:v>90</x:v>
      </x:c>
      <x:c r="AC32" s="14" t="n">
        <x:f>ROUND(AB32*0.45+AA32*0.30+IF(I32="A",100,IF(I32="B",85,IF(I32="C",55,IF(I32="CONFLICT",25,35))))*0.20+IF(E32="대한민국",100,25)*0.05,0)</x:f>
        <x:v>72</x:v>
      </x:c>
      <x:c r="AD32" s="14" t="str">
        <x:v>메일발송 가능</x:v>
      </x:c>
      <x:c r="AE32" s="14" t="str">
        <x:v>온라인 리셀러 허용 / 공급가·MOQ / 위탁·직배송 / 설치권역 / A/S 책임 / 제품사진·상세페이지 사용승인 / OEM·PB 가능 여부</x:v>
      </x:c>
      <x:c r="AF32" s="14" t="str">
        <x:v>https://osto.co.kr/outdoor/</x:v>
      </x:c>
      <x:c r="AG32" s="14" t="str"/>
      <x:c r="AH32" s="14" t="str">
        <x:v>2026-08-13</x:v>
      </x:c>
    </x:row>
    <x:row r="33" ht="54" customHeight="1">
      <x:c r="A33" s="14" t="str">
        <x:v>EXP-048</x:v>
      </x:c>
      <x:c r="B33" s="14" t="str">
        <x:v>S05</x:v>
      </x:c>
      <x:c r="C33" s="14" t="str">
        <x:v>메이플우드</x:v>
      </x:c>
      <x:c r="D33" s="14" t="str">
        <x:v>합성데크·사이딩·펜스</x:v>
      </x:c>
      <x:c r="E33" s="14" t="str">
        <x:v>대한민국</x:v>
      </x:c>
      <x:c r="F33" s="14" t="str">
        <x:v>합성목재 자재·유통</x:v>
      </x:c>
      <x:c r="G33" s="14" t="str">
        <x:v>031-8047-5001 / 010-4338-8250</x:v>
      </x:c>
      <x:c r="H33" s="14" t="str">
        <x:v>maplewood24@nate.com</x:v>
      </x:c>
      <x:c r="I33" s="14" t="str">
        <x:v>B</x:v>
      </x:c>
      <x:c r="J33" s="14" t="str">
        <x:v>공식 홈페이지</x:v>
      </x:c>
      <x:c r="K33" s="14" t="str"/>
      <x:c r="L33" s="14" t="str">
        <x:v>대표메일+전화</x:v>
      </x:c>
      <x:c r="M33" s="14" t="str">
        <x:v>미확인</x:v>
      </x:c>
      <x:c r="N33" s="14" t="str">
        <x:v>문의 필요</x:v>
      </x:c>
      <x:c r="O33" s="14" t="str">
        <x:v>문의 필요</x:v>
      </x:c>
      <x:c r="P33" s="14" t="str">
        <x:v>문의 필요</x:v>
      </x:c>
      <x:c r="Q33" s="14" t="str">
        <x:v>문의 필요</x:v>
      </x:c>
      <x:c r="R33" s="14" t="str">
        <x:v>문의 필요</x:v>
      </x:c>
      <x:c r="S33" s="14" t="str">
        <x:v>문의 필요</x:v>
      </x:c>
      <x:c r="T33" s="14" t="str">
        <x:v>사전승인 필요(공개 허용 문구 없음)</x:v>
      </x:c>
      <x:c r="U33" s="14" t="n">
        <x:v>70</x:v>
      </x:c>
      <x:c r="V33" s="14" t="str">
        <x:v>N</x:v>
      </x:c>
      <x:c r="W33" s="14" t="str">
        <x:v>N</x:v>
      </x:c>
      <x:c r="X33" s="14" t="str">
        <x:v>Y</x:v>
      </x:c>
      <x:c r="Y33" s="14" t="str">
        <x:v>Y</x:v>
      </x:c>
      <x:c r="Z33" s="14" t="str">
        <x:v>N</x:v>
      </x:c>
      <x:c r="AA33" s="14" t="n">
        <x:f>MAX(20,U33-IF(V33="Y",12,0)-IF(W33="Y",8,0)-IF(X33="Y",8,0)-IF(Y33="Y",8,0)-IF(Z33="Y",6,0))</x:f>
        <x:v>54</x:v>
      </x:c>
      <x:c r="AB33" s="14" t="n">
        <x:v>91</x:v>
      </x:c>
      <x:c r="AC33" s="14" t="n">
        <x:f>ROUND(AB33*0.45+AA33*0.30+IF(I33="A",100,IF(I33="B",85,IF(I33="C",55,IF(I33="CONFLICT",25,35))))*0.20+IF(E33="대한민국",100,25)*0.05,0)</x:f>
        <x:v>79</x:v>
      </x:c>
      <x:c r="AD33" s="14" t="str">
        <x:v>메일발송 가능</x:v>
      </x:c>
      <x:c r="AE33" s="14" t="str">
        <x:v>온라인 리셀러 허용 / 공급가·MOQ / 위탁·직배송 / 설치권역 / A/S 책임 / 제품사진·상세페이지 사용승인 / OEM·PB 가능 여부</x:v>
      </x:c>
      <x:c r="AF33" s="14" t="str">
        <x:v>https://maplewood.co.kr/</x:v>
      </x:c>
      <x:c r="AG33" s="14" t="str"/>
      <x:c r="AH33" s="14" t="str">
        <x:v>2026-08-13</x:v>
      </x:c>
    </x:row>
    <x:row r="34" ht="54" customHeight="1">
      <x:c r="A34" s="14" t="str">
        <x:v>EXP-049</x:v>
      </x:c>
      <x:c r="B34" s="14" t="str">
        <x:v>S05</x:v>
      </x:c>
      <x:c r="C34" s="14" t="str">
        <x:v>이우드</x:v>
      </x:c>
      <x:c r="D34" s="14" t="str">
        <x:v>합성목재·데크·휀스</x:v>
      </x:c>
      <x:c r="E34" s="14" t="str">
        <x:v>대한민국</x:v>
      </x:c>
      <x:c r="F34" s="14" t="str">
        <x:v>합성목재 전문유통·시공</x:v>
      </x:c>
      <x:c r="G34" s="14" t="str">
        <x:v>031-8039-5500</x:v>
      </x:c>
      <x:c r="H34" s="14" t="str">
        <x:v>ewood@navion.co.kr</x:v>
      </x:c>
      <x:c r="I34" s="14" t="str">
        <x:v>A</x:v>
      </x:c>
      <x:c r="J34" s="14" t="str">
        <x:v>공식 이우드 스토어</x:v>
      </x:c>
      <x:c r="K34" s="14" t="str">
        <x:v>공식 스토어 복수 페이지 반복 표기</x:v>
      </x:c>
      <x:c r="L34" s="14" t="str">
        <x:v>이우드 고객/영업</x:v>
      </x:c>
      <x:c r="M34" s="14" t="str">
        <x:v>O</x:v>
      </x:c>
      <x:c r="N34" s="14" t="str">
        <x:v>문의 필요</x:v>
      </x:c>
      <x:c r="O34" s="14" t="str">
        <x:v>문의 필요</x:v>
      </x:c>
      <x:c r="P34" s="14" t="str">
        <x:v>문의 필요</x:v>
      </x:c>
      <x:c r="Q34" s="14" t="str">
        <x:v>문의 필요</x:v>
      </x:c>
      <x:c r="R34" s="14" t="str">
        <x:v>문의 필요</x:v>
      </x:c>
      <x:c r="S34" s="14" t="str">
        <x:v>문의 필요</x:v>
      </x:c>
      <x:c r="T34" s="14" t="str">
        <x:v>사전승인 필요(공개 허용 문구 없음)</x:v>
      </x:c>
      <x:c r="U34" s="14" t="n">
        <x:v>58</x:v>
      </x:c>
      <x:c r="V34" s="14" t="str">
        <x:v>Y</x:v>
      </x:c>
      <x:c r="W34" s="14" t="str">
        <x:v>Y</x:v>
      </x:c>
      <x:c r="X34" s="14" t="str">
        <x:v>Y</x:v>
      </x:c>
      <x:c r="Y34" s="14" t="str">
        <x:v>Y</x:v>
      </x:c>
      <x:c r="Z34" s="14" t="str">
        <x:v>N</x:v>
      </x:c>
      <x:c r="AA34" s="14" t="n">
        <x:f>MAX(20,U34-IF(V34="Y",12,0)-IF(W34="Y",8,0)-IF(X34="Y",8,0)-IF(Y34="Y",8,0)-IF(Z34="Y",6,0))</x:f>
        <x:v>22</x:v>
      </x:c>
      <x:c r="AB34" s="14" t="n">
        <x:v>89</x:v>
      </x:c>
      <x:c r="AC34" s="14" t="n">
        <x:f>ROUND(AB34*0.45+AA34*0.30+IF(I34="A",100,IF(I34="B",85,IF(I34="C",55,IF(I34="CONFLICT",25,35))))*0.20+IF(E34="대한민국",100,25)*0.05,0)</x:f>
        <x:v>72</x:v>
      </x:c>
      <x:c r="AD34" s="14" t="str">
        <x:v>메일발송 가능</x:v>
      </x:c>
      <x:c r="AE34" s="14" t="str">
        <x:v>온라인 리셀러 허용 / 공급가·MOQ / 위탁·직배송 / 설치권역 / A/S 책임 / 제품사진·상세페이지 사용승인 / OEM·PB 가능 여부</x:v>
      </x:c>
      <x:c r="AF34" s="14" t="str">
        <x:v>https://ewoodmall.co.kr/</x:v>
      </x:c>
      <x:c r="AG34" s="14" t="str"/>
      <x:c r="AH34" s="14" t="str">
        <x:v>2026-08-13</x:v>
      </x:c>
    </x:row>
    <x:row r="35" ht="54" customHeight="1">
      <x:c r="A35" s="14" t="str">
        <x:v>EXP-051</x:v>
      </x:c>
      <x:c r="B35" s="14" t="str">
        <x:v>S06</x:v>
      </x:c>
      <x:c r="C35" s="14" t="str">
        <x:v>스토라지박스</x:v>
      </x:c>
      <x:c r="D35" s="14" t="str">
        <x:v>모듈 수영장·자쿠지</x:v>
      </x:c>
      <x:c r="E35" s="14" t="str">
        <x:v>대한민국</x:v>
      </x:c>
      <x:c r="F35" s="14" t="str">
        <x:v>모듈풀 자체공장·설계·시공</x:v>
      </x:c>
      <x:c r="G35" s="14" t="str">
        <x:v>031-461-3766</x:v>
      </x:c>
      <x:c r="H35" s="14" t="str">
        <x:v>storagebox_house@naver.com</x:v>
      </x:c>
      <x:c r="I35" s="14" t="str">
        <x:v>A</x:v>
      </x:c>
      <x:c r="J35" s="14" t="str">
        <x:v>공식 홈페이지</x:v>
      </x:c>
      <x:c r="K35" s="14" t="str">
        <x:v>공식 회사/프로젝트 페이지 반복 표기</x:v>
      </x:c>
      <x:c r="L35" s="14" t="str">
        <x:v>대표메일+상담</x:v>
      </x:c>
      <x:c r="M35" s="14" t="str">
        <x:v>미확인</x:v>
      </x:c>
      <x:c r="N35" s="14" t="str">
        <x:v>문의 필요</x:v>
      </x:c>
      <x:c r="O35" s="14" t="str">
        <x:v>문의 필요</x:v>
      </x:c>
      <x:c r="P35" s="14" t="str">
        <x:v>문의 필요</x:v>
      </x:c>
      <x:c r="Q35" s="14" t="str">
        <x:v>문의 필요</x:v>
      </x:c>
      <x:c r="R35" s="14" t="str">
        <x:v>다수 단독주택/지역 프로젝트 확인, 전국 여부 문의</x:v>
      </x:c>
      <x:c r="S35" s="14" t="str">
        <x:v>문의 필요</x:v>
      </x:c>
      <x:c r="T35" s="14" t="str">
        <x:v>사전승인 필요(공개 허용 문구 없음)</x:v>
      </x:c>
      <x:c r="U35" s="14" t="n">
        <x:v>62</x:v>
      </x:c>
      <x:c r="V35" s="14" t="str">
        <x:v>N</x:v>
      </x:c>
      <x:c r="W35" s="14" t="str">
        <x:v>N</x:v>
      </x:c>
      <x:c r="X35" s="14" t="str">
        <x:v>Y</x:v>
      </x:c>
      <x:c r="Y35" s="14" t="str">
        <x:v>Y</x:v>
      </x:c>
      <x:c r="Z35" s="14" t="str">
        <x:v>N</x:v>
      </x:c>
      <x:c r="AA35" s="14" t="n">
        <x:f>MAX(20,U35-IF(V35="Y",12,0)-IF(W35="Y",8,0)-IF(X35="Y",8,0)-IF(Y35="Y",8,0)-IF(Z35="Y",6,0))</x:f>
        <x:v>46</x:v>
      </x:c>
      <x:c r="AB35" s="14" t="n">
        <x:v>94</x:v>
      </x:c>
      <x:c r="AC35" s="14" t="n">
        <x:f>ROUND(AB35*0.45+AA35*0.30+IF(I35="A",100,IF(I35="B",85,IF(I35="C",55,IF(I35="CONFLICT",25,35))))*0.20+IF(E35="대한민국",100,25)*0.05,0)</x:f>
        <x:v>81</x:v>
      </x:c>
      <x:c r="AD35" s="14" t="str">
        <x:v>메일발송 가능</x:v>
      </x:c>
      <x:c r="AE35" s="14" t="str">
        <x:v>온라인 리셀러 허용 / 공급가·MOQ / 위탁·직배송 / 설치권역 / A/S 책임 / 제품사진·상세페이지 사용승인 / OEM·PB 가능 여부</x:v>
      </x:c>
      <x:c r="AF35" s="14" t="str">
        <x:v>https://storagebox.kr/</x:v>
      </x:c>
      <x:c r="AG35" s="14" t="str"/>
      <x:c r="AH35" s="14" t="str">
        <x:v>2026-08-13</x:v>
      </x:c>
    </x:row>
    <x:row r="36" ht="54" customHeight="1">
      <x:c r="A36" s="14" t="str">
        <x:v>EXP-052</x:v>
      </x:c>
      <x:c r="B36" s="14" t="str">
        <x:v>S06</x:v>
      </x:c>
      <x:c r="C36" s="14" t="str">
        <x:v>신화아쿠아</x:v>
      </x:c>
      <x:c r="D36" s="14" t="str">
        <x:v>수영장·스파·사우나 수처리</x:v>
      </x:c>
      <x:c r="E36" s="14" t="str">
        <x:v>대한민국</x:v>
      </x:c>
      <x:c r="F36" s="14" t="str">
        <x:v>수영장·스파·사우나 수처리 설계·시공</x:v>
      </x:c>
      <x:c r="G36" s="14" t="str">
        <x:v>02-444-1474</x:v>
      </x:c>
      <x:c r="H36" s="14" t="str">
        <x:v>aqua@swaqua.com</x:v>
      </x:c>
      <x:c r="I36" s="14" t="str">
        <x:v>A</x:v>
      </x:c>
      <x:c r="J36" s="14" t="str">
        <x:v>공식 홈페이지</x:v>
      </x:c>
      <x:c r="K36" s="14" t="str">
        <x:v>공식 회사/연락 페이지 동일 표기</x:v>
      </x:c>
      <x:c r="L36" s="14" t="str">
        <x:v>견적/영업 문의</x:v>
      </x:c>
      <x:c r="M36" s="14" t="str">
        <x:v>미확인</x:v>
      </x:c>
      <x:c r="N36" s="14" t="str">
        <x:v>문의 필요</x:v>
      </x:c>
      <x:c r="O36" s="14" t="str">
        <x:v>문의 필요</x:v>
      </x:c>
      <x:c r="P36" s="14" t="str">
        <x:v>문의 필요</x:v>
      </x:c>
      <x:c r="Q36" s="14" t="str">
        <x:v>문의 필요</x:v>
      </x:c>
      <x:c r="R36" s="14" t="str">
        <x:v>문의 필요</x:v>
      </x:c>
      <x:c r="S36" s="14" t="str">
        <x:v>문의 필요</x:v>
      </x:c>
      <x:c r="T36" s="14" t="str">
        <x:v>사전승인 필요(공개 허용 문구 없음)</x:v>
      </x:c>
      <x:c r="U36" s="14" t="n">
        <x:v>55</x:v>
      </x:c>
      <x:c r="V36" s="14" t="str">
        <x:v>N</x:v>
      </x:c>
      <x:c r="W36" s="14" t="str">
        <x:v>N</x:v>
      </x:c>
      <x:c r="X36" s="14" t="str">
        <x:v>Y</x:v>
      </x:c>
      <x:c r="Y36" s="14" t="str">
        <x:v>Y</x:v>
      </x:c>
      <x:c r="Z36" s="14" t="str">
        <x:v>N</x:v>
      </x:c>
      <x:c r="AA36" s="14" t="n">
        <x:f>MAX(20,U36-IF(V36="Y",12,0)-IF(W36="Y",8,0)-IF(X36="Y",8,0)-IF(Y36="Y",8,0)-IF(Z36="Y",6,0))</x:f>
        <x:v>39</x:v>
      </x:c>
      <x:c r="AB36" s="14" t="n">
        <x:v>96</x:v>
      </x:c>
      <x:c r="AC36" s="14" t="n">
        <x:f>ROUND(AB36*0.45+AA36*0.30+IF(I36="A",100,IF(I36="B",85,IF(I36="C",55,IF(I36="CONFLICT",25,35))))*0.20+IF(E36="대한민국",100,25)*0.05,0)</x:f>
        <x:v>80</x:v>
      </x:c>
      <x:c r="AD36" s="14" t="str">
        <x:v>메일발송 가능</x:v>
      </x:c>
      <x:c r="AE36" s="14" t="str">
        <x:v>온라인 리셀러 허용 / 공급가·MOQ / 위탁·직배송 / 설치권역 / A/S 책임 / 제품사진·상세페이지 사용승인 / OEM·PB 가능 여부</x:v>
      </x:c>
      <x:c r="AF36" s="14" t="str">
        <x:v>https://www.swaqua.com/kr/company/summary.php</x:v>
      </x:c>
      <x:c r="AG36" s="14" t="str"/>
      <x:c r="AH36" s="14" t="str">
        <x:v>2026-08-13</x:v>
      </x:c>
    </x:row>
    <x:row r="37" ht="54" customHeight="1">
      <x:c r="A37" s="14" t="str">
        <x:v>EXP-053</x:v>
      </x:c>
      <x:c r="B37" s="14" t="str">
        <x:v>S06</x:v>
      </x:c>
      <x:c r="C37" s="14" t="str">
        <x:v>극동무공</x:v>
      </x:c>
      <x:c r="D37" s="14" t="str">
        <x:v>수영장 수처리·스파·사우나</x:v>
      </x:c>
      <x:c r="E37" s="14" t="str">
        <x:v>대한민국</x:v>
      </x:c>
      <x:c r="F37" s="14" t="str">
        <x:v>수영장/스파/사우나 장비 제조·수입·시공</x:v>
      </x:c>
      <x:c r="G37" s="14" t="str">
        <x:v>02-754-0308</x:v>
      </x:c>
      <x:c r="H37" s="14" t="str">
        <x:v>spasauna@naver.com</x:v>
      </x:c>
      <x:c r="I37" s="14" t="str">
        <x:v>A</x:v>
      </x:c>
      <x:c r="J37" s="14" t="str">
        <x:v>공식 홈페이지</x:v>
      </x:c>
      <x:c r="K37" s="14" t="str">
        <x:v>공식 제품/회사 페이지 반복 표기</x:v>
      </x:c>
      <x:c r="L37" s="14" t="str">
        <x:v>대표메일+전화</x:v>
      </x:c>
      <x:c r="M37" s="14" t="str">
        <x:v>미확인</x:v>
      </x:c>
      <x:c r="N37" s="14" t="str">
        <x:v>문의 필요</x:v>
      </x:c>
      <x:c r="O37" s="14" t="str">
        <x:v>문의 필요</x:v>
      </x:c>
      <x:c r="P37" s="14" t="str">
        <x:v>문의 필요</x:v>
      </x:c>
      <x:c r="Q37" s="14" t="str">
        <x:v>문의 필요</x:v>
      </x:c>
      <x:c r="R37" s="14" t="str">
        <x:v>문의 필요</x:v>
      </x:c>
      <x:c r="S37" s="14" t="str">
        <x:v>문의 필요</x:v>
      </x:c>
      <x:c r="T37" s="14" t="str">
        <x:v>사전승인 필요(공개 허용 문구 없음)</x:v>
      </x:c>
      <x:c r="U37" s="14" t="n">
        <x:v>66</x:v>
      </x:c>
      <x:c r="V37" s="14" t="str">
        <x:v>N</x:v>
      </x:c>
      <x:c r="W37" s="14" t="str">
        <x:v>N</x:v>
      </x:c>
      <x:c r="X37" s="14" t="str">
        <x:v>Y</x:v>
      </x:c>
      <x:c r="Y37" s="14" t="str">
        <x:v>Y</x:v>
      </x:c>
      <x:c r="Z37" s="14" t="str">
        <x:v>N</x:v>
      </x:c>
      <x:c r="AA37" s="14" t="n">
        <x:f>MAX(20,U37-IF(V37="Y",12,0)-IF(W37="Y",8,0)-IF(X37="Y",8,0)-IF(Y37="Y",8,0)-IF(Z37="Y",6,0))</x:f>
        <x:v>50</x:v>
      </x:c>
      <x:c r="AB37" s="14" t="n">
        <x:v>95</x:v>
      </x:c>
      <x:c r="AC37" s="14" t="n">
        <x:f>ROUND(AB37*0.45+AA37*0.30+IF(I37="A",100,IF(I37="B",85,IF(I37="C",55,IF(I37="CONFLICT",25,35))))*0.20+IF(E37="대한민국",100,25)*0.05,0)</x:f>
        <x:v>83</x:v>
      </x:c>
      <x:c r="AD37" s="14" t="str">
        <x:v>메일발송 가능</x:v>
      </x:c>
      <x:c r="AE37" s="14" t="str">
        <x:v>온라인 리셀러 허용 / 공급가·MOQ / 위탁·직배송 / 설치권역 / A/S 책임 / 제품사진·상세페이지 사용승인 / OEM·PB 가능 여부</x:v>
      </x:c>
      <x:c r="AF37" s="14" t="str">
        <x:v>https://kdsauna.com/</x:v>
      </x:c>
      <x:c r="AG37" s="14" t="str"/>
      <x:c r="AH37" s="14" t="str">
        <x:v>2026-08-13</x:v>
      </x:c>
    </x:row>
    <x:row r="38" ht="54" customHeight="1">
      <x:c r="A38" s="14" t="str">
        <x:v>EXP-054</x:v>
      </x:c>
      <x:c r="B38" s="14" t="str">
        <x:v>S06</x:v>
      </x:c>
      <x:c r="C38" s="14" t="str">
        <x:v>SPA International</x:v>
      </x:c>
      <x:c r="D38" s="14" t="str">
        <x:v>수영장·스파·사우나 장비</x:v>
      </x:c>
      <x:c r="E38" s="14" t="str">
        <x:v>대한민국</x:v>
      </x:c>
      <x:c r="F38" s="14" t="str">
        <x:v>Pool/Spa/Sauna 장비 수입·유통·시공</x:v>
      </x:c>
      <x:c r="G38" s="14" t="str">
        <x:v>031-558-0358</x:v>
      </x:c>
      <x:c r="H38" s="14" t="str">
        <x:v>jtjang12@naver.com</x:v>
      </x:c>
      <x:c r="I38" s="14" t="str">
        <x:v>A</x:v>
      </x:c>
      <x:c r="J38" s="14" t="str">
        <x:v>공식 회사 페이지</x:v>
      </x:c>
      <x:c r="K38" s="14" t="str">
        <x:v>공식 홈/연락 페이지 동일 표기</x:v>
      </x:c>
      <x:c r="L38" s="14" t="str">
        <x:v>대표메일+전화</x:v>
      </x:c>
      <x:c r="M38" s="14" t="str">
        <x:v>미확인</x:v>
      </x:c>
      <x:c r="N38" s="14" t="str">
        <x:v>문의 필요</x:v>
      </x:c>
      <x:c r="O38" s="14" t="str">
        <x:v>문의 필요</x:v>
      </x:c>
      <x:c r="P38" s="14" t="str">
        <x:v>에이전트/수입·유통 사업 공개</x:v>
      </x:c>
      <x:c r="Q38" s="14" t="str">
        <x:v>문의 필요</x:v>
      </x:c>
      <x:c r="R38" s="14" t="str">
        <x:v>문의 필요</x:v>
      </x:c>
      <x:c r="S38" s="14" t="str">
        <x:v>문의 필요</x:v>
      </x:c>
      <x:c r="T38" s="14" t="str">
        <x:v>사전승인 필수(사이트 자료 무단도용/표절 법적책임 고지)</x:v>
      </x:c>
      <x:c r="U38" s="14" t="n">
        <x:v>58</x:v>
      </x:c>
      <x:c r="V38" s="14" t="str">
        <x:v>N</x:v>
      </x:c>
      <x:c r="W38" s="14" t="str">
        <x:v>N</x:v>
      </x:c>
      <x:c r="X38" s="14" t="str">
        <x:v>Y</x:v>
      </x:c>
      <x:c r="Y38" s="14" t="str">
        <x:v>Y</x:v>
      </x:c>
      <x:c r="Z38" s="14" t="str">
        <x:v>N</x:v>
      </x:c>
      <x:c r="AA38" s="14" t="n">
        <x:f>MAX(20,U38-IF(V38="Y",12,0)-IF(W38="Y",8,0)-IF(X38="Y",8,0)-IF(Y38="Y",8,0)-IF(Z38="Y",6,0))</x:f>
        <x:v>42</x:v>
      </x:c>
      <x:c r="AB38" s="14" t="n">
        <x:v>93</x:v>
      </x:c>
      <x:c r="AC38" s="14" t="n">
        <x:f>ROUND(AB38*0.45+AA38*0.30+IF(I38="A",100,IF(I38="B",85,IF(I38="C",55,IF(I38="CONFLICT",25,35))))*0.20+IF(E38="대한민국",100,25)*0.05,0)</x:f>
        <x:v>79</x:v>
      </x:c>
      <x:c r="AD38" s="14" t="str">
        <x:v>메일발송 가능</x:v>
      </x:c>
      <x:c r="AE38" s="14" t="str">
        <x:v>온라인 리셀러 허용 / 공급가·MOQ / 위탁·직배송 / 설치권역 / A/S 책임 / 제품사진·상세페이지 사용승인 / OEM·PB 가능 여부</x:v>
      </x:c>
      <x:c r="AF38" s="14" t="str">
        <x:v>https://sspa.co.kr/corporation-info/</x:v>
      </x:c>
      <x:c r="AG38" s="14" t="str"/>
      <x:c r="AH38" s="14" t="str">
        <x:v>2026-08-13</x:v>
      </x:c>
    </x:row>
    <x:row r="39" ht="54" customHeight="1">
      <x:c r="A39" s="14" t="str">
        <x:v>EXP-055</x:v>
      </x:c>
      <x:c r="B39" s="14" t="str">
        <x:v>S06</x:v>
      </x:c>
      <x:c r="C39" s="14" t="str">
        <x:v>네오워터</x:v>
      </x:c>
      <x:c r="D39" s="14" t="str">
        <x:v>수처리·개인주택 수영장</x:v>
      </x:c>
      <x:c r="E39" s="14" t="str">
        <x:v>대한민국</x:v>
      </x:c>
      <x:c r="F39" s="14" t="str">
        <x:v>수처리·설비</x:v>
      </x:c>
      <x:c r="G39" s="14" t="str">
        <x:v>031-767-7764</x:v>
      </x:c>
      <x:c r="H39" s="14" t="str">
        <x:v>contact@neowater.co.kr</x:v>
      </x:c>
      <x:c r="I39" s="14" t="str">
        <x:v>A</x:v>
      </x:c>
      <x:c r="J39" s="14" t="str">
        <x:v>공식 홈페이지</x:v>
      </x:c>
      <x:c r="K39" s="14" t="str">
        <x:v>공식 수처리/연락 페이지 반복 표기</x:v>
      </x:c>
      <x:c r="L39" s="14" t="str">
        <x:v>대표메일+문의</x:v>
      </x:c>
      <x:c r="M39" s="14" t="str">
        <x:v>미확인</x:v>
      </x:c>
      <x:c r="N39" s="14" t="str">
        <x:v>문의 필요</x:v>
      </x:c>
      <x:c r="O39" s="14" t="str">
        <x:v>문의 필요</x:v>
      </x:c>
      <x:c r="P39" s="14" t="str">
        <x:v>문의 필요</x:v>
      </x:c>
      <x:c r="Q39" s="14" t="str">
        <x:v>문의 필요</x:v>
      </x:c>
      <x:c r="R39" s="14" t="str">
        <x:v>문의 필요</x:v>
      </x:c>
      <x:c r="S39" s="14" t="str">
        <x:v>문의 필요</x:v>
      </x:c>
      <x:c r="T39" s="14" t="str">
        <x:v>사전승인 필요(공개 허용 문구 없음)</x:v>
      </x:c>
      <x:c r="U39" s="14" t="n">
        <x:v>72</x:v>
      </x:c>
      <x:c r="V39" s="14" t="str">
        <x:v>N</x:v>
      </x:c>
      <x:c r="W39" s="14" t="str">
        <x:v>N</x:v>
      </x:c>
      <x:c r="X39" s="14" t="str">
        <x:v>Y</x:v>
      </x:c>
      <x:c r="Y39" s="14" t="str">
        <x:v>Y</x:v>
      </x:c>
      <x:c r="Z39" s="14" t="str">
        <x:v>N</x:v>
      </x:c>
      <x:c r="AA39" s="14" t="n">
        <x:f>MAX(20,U39-IF(V39="Y",12,0)-IF(W39="Y",8,0)-IF(X39="Y",8,0)-IF(Y39="Y",8,0)-IF(Z39="Y",6,0))</x:f>
        <x:v>56</x:v>
      </x:c>
      <x:c r="AB39" s="14" t="n">
        <x:v>90</x:v>
      </x:c>
      <x:c r="AC39" s="14" t="n">
        <x:f>ROUND(AB39*0.45+AA39*0.30+IF(I39="A",100,IF(I39="B",85,IF(I39="C",55,IF(I39="CONFLICT",25,35))))*0.20+IF(E39="대한민국",100,25)*0.05,0)</x:f>
        <x:v>82</x:v>
      </x:c>
      <x:c r="AD39" s="14" t="str">
        <x:v>메일발송 가능</x:v>
      </x:c>
      <x:c r="AE39" s="14" t="str">
        <x:v>온라인 리셀러 허용 / 공급가·MOQ / 위탁·직배송 / 설치권역 / A/S 책임 / 제품사진·상세페이지 사용승인 / OEM·PB 가능 여부</x:v>
      </x:c>
      <x:c r="AF39" s="14" t="str">
        <x:v>https://www.neowater.co.kr/27</x:v>
      </x:c>
      <x:c r="AG39" s="14" t="str"/>
      <x:c r="AH39" s="14" t="str">
        <x:v>2026-08-13</x:v>
      </x:c>
    </x:row>
    <x:row r="40" ht="54" customHeight="1">
      <x:c r="A40" s="14" t="str">
        <x:v>EXP-056</x:v>
      </x:c>
      <x:c r="B40" s="14" t="str">
        <x:v>S06</x:v>
      </x:c>
      <x:c r="C40" s="14" t="str">
        <x:v>범우티엔씨</x:v>
      </x:c>
      <x:c r="D40" s="14" t="str">
        <x:v>수영장 설비·시공</x:v>
      </x:c>
      <x:c r="E40" s="14" t="str">
        <x:v>대한민국</x:v>
      </x:c>
      <x:c r="F40" s="14" t="str">
        <x:v>수영장 전문시공</x:v>
      </x:c>
      <x:c r="G40" s="14" t="str">
        <x:v>031-812-7000</x:v>
      </x:c>
      <x:c r="H40" s="14" t="str">
        <x:v>pyc7000@nate.com</x:v>
      </x:c>
      <x:c r="I40" s="14" t="str">
        <x:v>B</x:v>
      </x:c>
      <x:c r="J40" s="14" t="str">
        <x:v>공식 홈페이지</x:v>
      </x:c>
      <x:c r="K40" s="14" t="str"/>
      <x:c r="L40" s="14" t="str">
        <x:v>대표메일+전화</x:v>
      </x:c>
      <x:c r="M40" s="14" t="str">
        <x:v>미확인</x:v>
      </x:c>
      <x:c r="N40" s="14" t="str">
        <x:v>문의 필요</x:v>
      </x:c>
      <x:c r="O40" s="14" t="str">
        <x:v>문의 필요</x:v>
      </x:c>
      <x:c r="P40" s="14" t="str">
        <x:v>문의 필요</x:v>
      </x:c>
      <x:c r="Q40" s="14" t="str">
        <x:v>문의 필요</x:v>
      </x:c>
      <x:c r="R40" s="14" t="str">
        <x:v>문의 필요</x:v>
      </x:c>
      <x:c r="S40" s="14" t="str">
        <x:v>문의 필요</x:v>
      </x:c>
      <x:c r="T40" s="14" t="str">
        <x:v>사전승인 필요(공개 허용 문구 없음)</x:v>
      </x:c>
      <x:c r="U40" s="14" t="n">
        <x:v>64</x:v>
      </x:c>
      <x:c r="V40" s="14" t="str">
        <x:v>N</x:v>
      </x:c>
      <x:c r="W40" s="14" t="str">
        <x:v>N</x:v>
      </x:c>
      <x:c r="X40" s="14" t="str">
        <x:v>Y</x:v>
      </x:c>
      <x:c r="Y40" s="14" t="str">
        <x:v>Y</x:v>
      </x:c>
      <x:c r="Z40" s="14" t="str">
        <x:v>N</x:v>
      </x:c>
      <x:c r="AA40" s="14" t="n">
        <x:f>MAX(20,U40-IF(V40="Y",12,0)-IF(W40="Y",8,0)-IF(X40="Y",8,0)-IF(Y40="Y",8,0)-IF(Z40="Y",6,0))</x:f>
        <x:v>48</x:v>
      </x:c>
      <x:c r="AB40" s="14" t="n">
        <x:v>95</x:v>
      </x:c>
      <x:c r="AC40" s="14" t="n">
        <x:f>ROUND(AB40*0.45+AA40*0.30+IF(I40="A",100,IF(I40="B",85,IF(I40="C",55,IF(I40="CONFLICT",25,35))))*0.20+IF(E40="대한민국",100,25)*0.05,0)</x:f>
        <x:v>79</x:v>
      </x:c>
      <x:c r="AD40" s="14" t="str">
        <x:v>메일발송 가능</x:v>
      </x:c>
      <x:c r="AE40" s="14" t="str">
        <x:v>온라인 리셀러 허용 / 공급가·MOQ / 위탁·직배송 / 설치권역 / A/S 책임 / 제품사진·상세페이지 사용승인 / OEM·PB 가능 여부</x:v>
      </x:c>
      <x:c r="AF40" s="14" t="str">
        <x:v>https://www.ebumwoo.co.kr/</x:v>
      </x:c>
      <x:c r="AG40" s="14" t="str"/>
      <x:c r="AH40" s="14" t="str">
        <x:v>2026-08-13</x:v>
      </x:c>
    </x:row>
    <x:row r="41" ht="54" customHeight="1">
      <x:c r="A41" s="14" t="str">
        <x:v>EXP-057</x:v>
      </x:c>
      <x:c r="B41" s="14" t="str">
        <x:v>S06</x:v>
      </x:c>
      <x:c r="C41" s="14" t="str">
        <x:v>지오풀</x:v>
      </x:c>
      <x:c r="D41" s="14" t="str">
        <x:v>이동식·프레임 수영장·부품</x:v>
      </x:c>
      <x:c r="E41" s="14" t="str">
        <x:v>대한민국</x:v>
      </x:c>
      <x:c r="F41" s="14" t="str">
        <x:v>이동식/프레임 풀 유통·시공</x:v>
      </x:c>
      <x:c r="G41" s="14" t="str">
        <x:v>1899-8051 / 043-644-8002</x:v>
      </x:c>
      <x:c r="H41" s="14" t="str">
        <x:v>ZIO@ZIOPOOL.COM</x:v>
      </x:c>
      <x:c r="I41" s="14" t="str">
        <x:v>A</x:v>
      </x:c>
      <x:c r="J41" s="14" t="str">
        <x:v>공식 홈페이지</x:v>
      </x:c>
      <x:c r="K41" s="14" t="str">
        <x:v>공식 회사/스토어 페이지 동일 표기</x:v>
      </x:c>
      <x:c r="L41" s="14" t="str">
        <x:v>대표메일+전화</x:v>
      </x:c>
      <x:c r="M41" s="14" t="str">
        <x:v>O</x:v>
      </x:c>
      <x:c r="N41" s="14" t="str">
        <x:v>문의 필요</x:v>
      </x:c>
      <x:c r="O41" s="14" t="str">
        <x:v>문의 필요</x:v>
      </x:c>
      <x:c r="P41" s="14" t="str">
        <x:v>문의 필요</x:v>
      </x:c>
      <x:c r="Q41" s="14" t="str">
        <x:v>문의 필요</x:v>
      </x:c>
      <x:c r="R41" s="14" t="str">
        <x:v>문의 필요</x:v>
      </x:c>
      <x:c r="S41" s="14" t="str">
        <x:v>문의 필요</x:v>
      </x:c>
      <x:c r="T41" s="14" t="str">
        <x:v>사전승인 필요(공개 허용 문구 없음)</x:v>
      </x:c>
      <x:c r="U41" s="14" t="n">
        <x:v>76</x:v>
      </x:c>
      <x:c r="V41" s="14" t="str">
        <x:v>N</x:v>
      </x:c>
      <x:c r="W41" s="14" t="str">
        <x:v>Y</x:v>
      </x:c>
      <x:c r="X41" s="14" t="str">
        <x:v>Y</x:v>
      </x:c>
      <x:c r="Y41" s="14" t="str">
        <x:v>Y</x:v>
      </x:c>
      <x:c r="Z41" s="14" t="str">
        <x:v>N</x:v>
      </x:c>
      <x:c r="AA41" s="14" t="n">
        <x:f>MAX(20,U41-IF(V41="Y",12,0)-IF(W41="Y",8,0)-IF(X41="Y",8,0)-IF(Y41="Y",8,0)-IF(Z41="Y",6,0))</x:f>
        <x:v>52</x:v>
      </x:c>
      <x:c r="AB41" s="14" t="n">
        <x:v>89</x:v>
      </x:c>
      <x:c r="AC41" s="14" t="n">
        <x:f>ROUND(AB41*0.45+AA41*0.30+IF(I41="A",100,IF(I41="B",85,IF(I41="C",55,IF(I41="CONFLICT",25,35))))*0.20+IF(E41="대한민국",100,25)*0.05,0)</x:f>
        <x:v>81</x:v>
      </x:c>
      <x:c r="AD41" s="14" t="str">
        <x:v>메일발송 가능</x:v>
      </x:c>
      <x:c r="AE41" s="14" t="str">
        <x:v>온라인 리셀러 허용 / 공급가·MOQ / 위탁·직배송 / 설치권역 / A/S 책임 / 제품사진·상세페이지 사용승인 / OEM·PB 가능 여부</x:v>
      </x:c>
      <x:c r="AF41" s="14" t="str">
        <x:v>https://ziopool.cafe24.com/</x:v>
      </x:c>
      <x:c r="AG41" s="14" t="str"/>
      <x:c r="AH41" s="14" t="str">
        <x:v>2026-08-13</x:v>
      </x:c>
    </x:row>
    <x:row r="42" ht="54" customHeight="1">
      <x:c r="A42" s="14" t="str">
        <x:v>EXP-058</x:v>
      </x:c>
      <x:c r="B42" s="14" t="str">
        <x:v>S06</x:v>
      </x:c>
      <x:c r="C42" s="14" t="str">
        <x:v>리안아쿠아</x:v>
      </x:c>
      <x:c r="D42" s="14" t="str">
        <x:v>수영장·사우나·수처리</x:v>
      </x:c>
      <x:c r="E42" s="14" t="str">
        <x:v>대한민국</x:v>
      </x:c>
      <x:c r="F42" s="14" t="str">
        <x:v>수영장·사우나·수처리 설계·시공</x:v>
      </x:c>
      <x:c r="G42" s="14" t="str">
        <x:v>010-5346-2063</x:v>
      </x:c>
      <x:c r="H42" s="14" t="str">
        <x:v>공개 이메일 미확인</x:v>
      </x:c>
      <x:c r="I42" s="14" t="str">
        <x:v>X</x:v>
      </x:c>
      <x:c r="J42" s="14" t="str"/>
      <x:c r="K42" s="14" t="str"/>
      <x:c r="L42" s="14" t="str">
        <x:v>대표전화/공식 웹문의</x:v>
      </x:c>
      <x:c r="M42" s="14" t="str">
        <x:v>미확인</x:v>
      </x:c>
      <x:c r="N42" s="14" t="str">
        <x:v>문의 필요</x:v>
      </x:c>
      <x:c r="O42" s="14" t="str">
        <x:v>문의 필요</x:v>
      </x:c>
      <x:c r="P42" s="14" t="str">
        <x:v>문의 필요</x:v>
      </x:c>
      <x:c r="Q42" s="14" t="str">
        <x:v>문의 필요</x:v>
      </x:c>
      <x:c r="R42" s="14" t="str">
        <x:v>문의 필요</x:v>
      </x:c>
      <x:c r="S42" s="14" t="str">
        <x:v>문의 필요</x:v>
      </x:c>
      <x:c r="T42" s="14" t="str">
        <x:v>사전승인 필요(공개 허용 문구 없음)</x:v>
      </x:c>
      <x:c r="U42" s="14" t="n">
        <x:v>82</x:v>
      </x:c>
      <x:c r="V42" s="14" t="str">
        <x:v>N</x:v>
      </x:c>
      <x:c r="W42" s="14" t="str">
        <x:v>N</x:v>
      </x:c>
      <x:c r="X42" s="14" t="str">
        <x:v>Y</x:v>
      </x:c>
      <x:c r="Y42" s="14" t="str">
        <x:v>Y</x:v>
      </x:c>
      <x:c r="Z42" s="14" t="str">
        <x:v>N</x:v>
      </x:c>
      <x:c r="AA42" s="14" t="n">
        <x:f>MAX(20,U42-IF(V42="Y",12,0)-IF(W42="Y",8,0)-IF(X42="Y",8,0)-IF(Y42="Y",8,0)-IF(Z42="Y",6,0))</x:f>
        <x:v>66</x:v>
      </x:c>
      <x:c r="AB42" s="14" t="n">
        <x:v>91</x:v>
      </x:c>
      <x:c r="AC42" s="14" t="n">
        <x:f>ROUND(AB42*0.45+AA42*0.30+IF(I42="A",100,IF(I42="B",85,IF(I42="C",55,IF(I42="CONFLICT",25,35))))*0.20+IF(E42="대한민국",100,25)*0.05,0)</x:f>
        <x:v>73</x:v>
      </x:c>
      <x:c r="AD42" s="14" t="str">
        <x:v>전화/폼 선행</x:v>
      </x:c>
      <x:c r="AE42" s="14" t="str">
        <x:v>온라인 리셀러 허용 / 공급가·MOQ / 위탁·직배송 / 설치권역 / A/S 책임 / 제품사진·상세페이지 사용승인 / OEM·PB 가능 여부</x:v>
      </x:c>
      <x:c r="AF42" s="14" t="str">
        <x:v>https://rianaqua.itpage.kr/</x:v>
      </x:c>
      <x:c r="AG42" s="14" t="str"/>
      <x:c r="AH42" s="14" t="str">
        <x:v>2026-08-13</x:v>
      </x:c>
    </x:row>
    <x:row r="43" ht="54" customHeight="1">
      <x:c r="A43" s="14" t="str">
        <x:v>EXP-059</x:v>
      </x:c>
      <x:c r="B43" s="14" t="str">
        <x:v>S06</x:v>
      </x:c>
      <x:c r="C43" s="14" t="str">
        <x:v>테라피아엔지</x:v>
      </x:c>
      <x:c r="D43" s="14" t="str">
        <x:v>수영장·워터파크·사우나 수처리</x:v>
      </x:c>
      <x:c r="E43" s="14" t="str">
        <x:v>대한민국</x:v>
      </x:c>
      <x:c r="F43" s="14" t="str">
        <x:v>수영장/사우나 수처리 설비</x:v>
      </x:c>
      <x:c r="G43" s="14" t="str">
        <x:v>02-2624-2577(공공/업체DB 교차)</x:v>
      </x:c>
      <x:c r="H43" s="14" t="str">
        <x:v>공개 이메일 미확인</x:v>
      </x:c>
      <x:c r="I43" s="14" t="str">
        <x:v>X</x:v>
      </x:c>
      <x:c r="J43" s="14" t="str"/>
      <x:c r="K43" s="14" t="str"/>
      <x:c r="L43" s="14" t="str">
        <x:v>공식 사이트 문의+전화 재확인</x:v>
      </x:c>
      <x:c r="M43" s="14" t="str">
        <x:v>미확인</x:v>
      </x:c>
      <x:c r="N43" s="14" t="str">
        <x:v>문의 필요</x:v>
      </x:c>
      <x:c r="O43" s="14" t="str">
        <x:v>문의 필요</x:v>
      </x:c>
      <x:c r="P43" s="14" t="str">
        <x:v>문의 필요</x:v>
      </x:c>
      <x:c r="Q43" s="14" t="str">
        <x:v>문의 필요</x:v>
      </x:c>
      <x:c r="R43" s="14" t="str">
        <x:v>문의 필요</x:v>
      </x:c>
      <x:c r="S43" s="14" t="str">
        <x:v>문의 필요</x:v>
      </x:c>
      <x:c r="T43" s="14" t="str">
        <x:v>사전승인 필요(공개 허용 문구 없음)</x:v>
      </x:c>
      <x:c r="U43" s="14" t="n">
        <x:v>80</x:v>
      </x:c>
      <x:c r="V43" s="14" t="str">
        <x:v>N</x:v>
      </x:c>
      <x:c r="W43" s="14" t="str">
        <x:v>N</x:v>
      </x:c>
      <x:c r="X43" s="14" t="str">
        <x:v>Y</x:v>
      </x:c>
      <x:c r="Y43" s="14" t="str">
        <x:v>Y</x:v>
      </x:c>
      <x:c r="Z43" s="14" t="str">
        <x:v>N</x:v>
      </x:c>
      <x:c r="AA43" s="14" t="n">
        <x:f>MAX(20,U43-IF(V43="Y",12,0)-IF(W43="Y",8,0)-IF(X43="Y",8,0)-IF(Y43="Y",8,0)-IF(Z43="Y",6,0))</x:f>
        <x:v>64</x:v>
      </x:c>
      <x:c r="AB43" s="14" t="n">
        <x:v>94</x:v>
      </x:c>
      <x:c r="AC43" s="14" t="n">
        <x:f>ROUND(AB43*0.45+AA43*0.30+IF(I43="A",100,IF(I43="B",85,IF(I43="C",55,IF(I43="CONFLICT",25,35))))*0.20+IF(E43="대한민국",100,25)*0.05,0)</x:f>
        <x:v>74</x:v>
      </x:c>
      <x:c r="AD43" s="14" t="str">
        <x:v>전화/폼 선행</x:v>
      </x:c>
      <x:c r="AE43" s="14" t="str">
        <x:v>온라인 리셀러 허용 / 공급가·MOQ / 위탁·직배송 / 설치권역 / A/S 책임 / 제품사진·상세페이지 사용승인 / OEM·PB 가능 여부</x:v>
      </x:c>
      <x:c r="AF43" s="14" t="str">
        <x:v>https://therapiaeng.com/sub/sub2_3.php</x:v>
      </x:c>
      <x:c r="AG43" s="14" t="str">
        <x:v>공식사이트에서 공개 이메일 미확인.</x:v>
      </x:c>
      <x:c r="AH43" s="14" t="str">
        <x:v>2026-08-13</x:v>
      </x:c>
    </x:row>
    <x:row r="44" ht="54" customHeight="1">
      <x:c r="A44" s="14" t="str">
        <x:v>EXP-060</x:v>
      </x:c>
      <x:c r="B44" s="14" t="str">
        <x:v>S06</x:v>
      </x:c>
      <x:c r="C44" s="14" t="str">
        <x:v>주식회사 와이케이</x:v>
      </x:c>
      <x:c r="D44" s="14" t="str">
        <x:v>수영장 여과·수처리 설비</x:v>
      </x:c>
      <x:c r="E44" s="14" t="str">
        <x:v>대한민국</x:v>
      </x:c>
      <x:c r="F44" s="14" t="str">
        <x:v>수영장 여과/전처리 설비·시공</x:v>
      </x:c>
      <x:c r="G44" s="14" t="str">
        <x:v>공사문의 010-3596-0538 / 인테리어 010-8931-1138</x:v>
      </x:c>
      <x:c r="H44" s="14" t="str">
        <x:v>공개 이메일 미확인</x:v>
      </x:c>
      <x:c r="I44" s="14" t="str">
        <x:v>X</x:v>
      </x:c>
      <x:c r="J44" s="14" t="str"/>
      <x:c r="K44" s="14" t="str"/>
      <x:c r="L44" s="14" t="str">
        <x:v>공식 고객문의폼+업무별 전화</x:v>
      </x:c>
      <x:c r="M44" s="14" t="str">
        <x:v>미확인</x:v>
      </x:c>
      <x:c r="N44" s="14" t="str">
        <x:v>문의 필요</x:v>
      </x:c>
      <x:c r="O44" s="14" t="str">
        <x:v>문의 필요</x:v>
      </x:c>
      <x:c r="P44" s="14" t="str">
        <x:v>문의 필요</x:v>
      </x:c>
      <x:c r="Q44" s="14" t="str">
        <x:v>문의 필요</x:v>
      </x:c>
      <x:c r="R44" s="14" t="str">
        <x:v>문의 필요</x:v>
      </x:c>
      <x:c r="S44" s="14" t="str">
        <x:v>문의 필요</x:v>
      </x:c>
      <x:c r="T44" s="14" t="str">
        <x:v>사전승인 필요(공개 허용 문구 없음)</x:v>
      </x:c>
      <x:c r="U44" s="14" t="n">
        <x:v>78</x:v>
      </x:c>
      <x:c r="V44" s="14" t="str">
        <x:v>N</x:v>
      </x:c>
      <x:c r="W44" s="14" t="str">
        <x:v>N</x:v>
      </x:c>
      <x:c r="X44" s="14" t="str">
        <x:v>Y</x:v>
      </x:c>
      <x:c r="Y44" s="14" t="str">
        <x:v>Y</x:v>
      </x:c>
      <x:c r="Z44" s="14" t="str">
        <x:v>N</x:v>
      </x:c>
      <x:c r="AA44" s="14" t="n">
        <x:f>MAX(20,U44-IF(V44="Y",12,0)-IF(W44="Y",8,0)-IF(X44="Y",8,0)-IF(Y44="Y",8,0)-IF(Z44="Y",6,0))</x:f>
        <x:v>62</x:v>
      </x:c>
      <x:c r="AB44" s="14" t="n">
        <x:v>92</x:v>
      </x:c>
      <x:c r="AC44" s="14" t="n">
        <x:f>ROUND(AB44*0.45+AA44*0.30+IF(I44="A",100,IF(I44="B",85,IF(I44="C",55,IF(I44="CONFLICT",25,35))))*0.20+IF(E44="대한민국",100,25)*0.05,0)</x:f>
        <x:v>72</x:v>
      </x:c>
      <x:c r="AD44" s="14" t="str">
        <x:v>문의폼/전화 선행</x:v>
      </x:c>
      <x:c r="AE44" s="14" t="str">
        <x:v>온라인 리셀러 허용 / 공급가·MOQ / 위탁·직배송 / 설치권역 / A/S 책임 / 제품사진·상세페이지 사용승인 / OEM·PB 가능 여부</x:v>
      </x:c>
      <x:c r="AF44" s="14" t="str">
        <x:v>https://esgeng.co.kr/?page_id=1141</x:v>
      </x:c>
      <x:c r="AG44" s="14" t="str"/>
      <x:c r="AH44" s="14" t="str">
        <x:v>2026-08-13</x:v>
      </x:c>
    </x:row>
    <x:row r="45" ht="54" customHeight="1">
      <x:c r="A45" s="14" t="str">
        <x:v>EXP-061</x:v>
      </x:c>
      <x:c r="B45" s="14" t="str">
        <x:v>S07</x:v>
      </x:c>
      <x:c r="C45" s="14" t="str">
        <x:v>주목씨지알</x:v>
      </x:c>
      <x:c r="D45" s="14" t="str">
        <x:v>인조잔디</x:v>
      </x:c>
      <x:c r="E45" s="14" t="str">
        <x:v>대한민국</x:v>
      </x:c>
      <x:c r="F45" s="14" t="str">
        <x:v>인조잔디 직접제조·시공</x:v>
      </x:c>
      <x:c r="G45" s="14" t="str">
        <x:v>1644-3663</x:v>
      </x:c>
      <x:c r="H45" s="14" t="str">
        <x:v>jmcgr@naver.com</x:v>
      </x:c>
      <x:c r="I45" s="14" t="str">
        <x:v>A</x:v>
      </x:c>
      <x:c r="J45" s="14" t="str">
        <x:v>공식 홈페이지</x:v>
      </x:c>
      <x:c r="K45" s="14" t="str">
        <x:v>공식 기사/제품 페이지 반복 표기</x:v>
      </x:c>
      <x:c r="L45" s="14" t="str">
        <x:v>대표메일+전화</x:v>
      </x:c>
      <x:c r="M45" s="14" t="str">
        <x:v>미확인</x:v>
      </x:c>
      <x:c r="N45" s="14" t="str">
        <x:v>문의 필요</x:v>
      </x:c>
      <x:c r="O45" s="14" t="str">
        <x:v>문의 필요</x:v>
      </x:c>
      <x:c r="P45" s="14" t="str">
        <x:v>문의 필요(직접제조)</x:v>
      </x:c>
      <x:c r="Q45" s="14" t="str">
        <x:v>문의 필요</x:v>
      </x:c>
      <x:c r="R45" s="14" t="str">
        <x:v>문의 필요</x:v>
      </x:c>
      <x:c r="S45" s="14" t="str">
        <x:v>문의 필요</x:v>
      </x:c>
      <x:c r="T45" s="14" t="str">
        <x:v>사전승인 필요(공개 허용 문구 없음)</x:v>
      </x:c>
      <x:c r="U45" s="14" t="n">
        <x:v>52</x:v>
      </x:c>
      <x:c r="V45" s="14" t="str">
        <x:v>N</x:v>
      </x:c>
      <x:c r="W45" s="14" t="str">
        <x:v>N</x:v>
      </x:c>
      <x:c r="X45" s="14" t="str">
        <x:v>Y</x:v>
      </x:c>
      <x:c r="Y45" s="14" t="str">
        <x:v>Y</x:v>
      </x:c>
      <x:c r="Z45" s="14" t="str">
        <x:v>N</x:v>
      </x:c>
      <x:c r="AA45" s="14" t="n">
        <x:f>MAX(20,U45-IF(V45="Y",12,0)-IF(W45="Y",8,0)-IF(X45="Y",8,0)-IF(Y45="Y",8,0)-IF(Z45="Y",6,0))</x:f>
        <x:v>36</x:v>
      </x:c>
      <x:c r="AB45" s="14" t="n">
        <x:v>97</x:v>
      </x:c>
      <x:c r="AC45" s="14" t="n">
        <x:f>ROUND(AB45*0.45+AA45*0.30+IF(I45="A",100,IF(I45="B",85,IF(I45="C",55,IF(I45="CONFLICT",25,35))))*0.20+IF(E45="대한민국",100,25)*0.05,0)</x:f>
        <x:v>79</x:v>
      </x:c>
      <x:c r="AD45" s="14" t="str">
        <x:v>메일발송 가능</x:v>
      </x:c>
      <x:c r="AE45" s="14" t="str">
        <x:v>온라인 리셀러 허용 / 공급가·MOQ / 위탁·직배송 / 설치권역 / A/S 책임 / 제품사진·상세페이지 사용승인 / OEM·PB 가능 여부</x:v>
      </x:c>
      <x:c r="AF45" s="14" t="str">
        <x:v>https://jmcgr.co.kr/84</x:v>
      </x:c>
      <x:c r="AG45" s="14" t="str"/>
      <x:c r="AH45" s="14" t="str">
        <x:v>2026-08-13</x:v>
      </x:c>
    </x:row>
    <x:row r="46" ht="54" customHeight="1">
      <x:c r="A46" s="14" t="str">
        <x:v>EXP-062</x:v>
      </x:c>
      <x:c r="B46" s="14" t="str">
        <x:v>S07</x:v>
      </x:c>
      <x:c r="C46" s="14" t="str">
        <x:v>(주)성하 / SignalTree</x:v>
      </x:c>
      <x:c r="D46" s="14" t="str">
        <x:v>IoT 수목·관수</x:v>
      </x:c>
      <x:c r="E46" s="14" t="str">
        <x:v>대한민국</x:v>
      </x:c>
      <x:c r="F46" s="14" t="str">
        <x:v>IoT 수목·관수 시스템</x:v>
      </x:c>
      <x:c r="G46" s="14" t="str">
        <x:v>031-425-5164</x:v>
      </x:c>
      <x:c r="H46" s="14" t="str">
        <x:v>sungha0405@hanmail.net</x:v>
      </x:c>
      <x:c r="I46" s="14" t="str">
        <x:v>C</x:v>
      </x:c>
      <x:c r="J46" s="14" t="str">
        <x:v>공공/지원사업 기업정보</x:v>
      </x:c>
      <x:c r="K46" s="14" t="str">
        <x:v>채용/기업정보 독립자료 동일 표기</x:v>
      </x:c>
      <x:c r="L46" s="14" t="str">
        <x:v>전화 선확인 후 이메일</x:v>
      </x:c>
      <x:c r="M46" s="14" t="str">
        <x:v>미확인</x:v>
      </x:c>
      <x:c r="N46" s="14" t="str">
        <x:v>문의 필요</x:v>
      </x:c>
      <x:c r="O46" s="14" t="str">
        <x:v>문의 필요</x:v>
      </x:c>
      <x:c r="P46" s="14" t="str">
        <x:v>문의 필요</x:v>
      </x:c>
      <x:c r="Q46" s="14" t="str">
        <x:v>문의 필요</x:v>
      </x:c>
      <x:c r="R46" s="14" t="str">
        <x:v>문의 필요</x:v>
      </x:c>
      <x:c r="S46" s="14" t="str">
        <x:v>문의 필요</x:v>
      </x:c>
      <x:c r="T46" s="14" t="str">
        <x:v>사전승인 필요(공개 허용 문구 없음)</x:v>
      </x:c>
      <x:c r="U46" s="14" t="n">
        <x:v>72</x:v>
      </x:c>
      <x:c r="V46" s="14" t="str">
        <x:v>N</x:v>
      </x:c>
      <x:c r="W46" s="14" t="str">
        <x:v>N</x:v>
      </x:c>
      <x:c r="X46" s="14" t="str">
        <x:v>Y</x:v>
      </x:c>
      <x:c r="Y46" s="14" t="str">
        <x:v>Y</x:v>
      </x:c>
      <x:c r="Z46" s="14" t="str">
        <x:v>N</x:v>
      </x:c>
      <x:c r="AA46" s="14" t="n">
        <x:f>MAX(20,U46-IF(V46="Y",12,0)-IF(W46="Y",8,0)-IF(X46="Y",8,0)-IF(Y46="Y",8,0)-IF(Z46="Y",6,0))</x:f>
        <x:v>56</x:v>
      </x:c>
      <x:c r="AB46" s="14" t="n">
        <x:v>93</x:v>
      </x:c>
      <x:c r="AC46" s="14" t="n">
        <x:f>ROUND(AB46*0.45+AA46*0.30+IF(I46="A",100,IF(I46="B",85,IF(I46="C",55,IF(I46="CONFLICT",25,35))))*0.20+IF(E46="대한민국",100,25)*0.05,0)</x:f>
        <x:v>75</x:v>
      </x:c>
      <x:c r="AD46" s="14" t="str">
        <x:v>메일주소 전화 재확인</x:v>
      </x:c>
      <x:c r="AE46" s="14" t="str">
        <x:v>온라인 리셀러 허용 / 공급가·MOQ / 위탁·직배송 / 설치권역 / A/S 책임 / 제품사진·상세페이지 사용승인 / OEM·PB 가능 여부</x:v>
      </x:c>
      <x:c r="AF46" s="14" t="str">
        <x:v>https://www.signaltree.kr/</x:v>
      </x:c>
      <x:c r="AG46" s="14" t="str">
        <x:v>공식 기업사이트에서 직접 노출을 확인하지 못해 C등급. 두 독립 공공/기업자료에서 동일 메일 교차.</x:v>
      </x:c>
      <x:c r="AH46" s="14" t="str">
        <x:v>2026-08-13</x:v>
      </x:c>
    </x:row>
    <x:row r="47" ht="54" customHeight="1">
      <x:c r="A47" s="14" t="str">
        <x:v>EXP-063</x:v>
      </x:c>
      <x:c r="B47" s="14" t="str">
        <x:v>S07</x:v>
      </x:c>
      <x:c r="C47" s="14" t="str">
        <x:v>가든라이프</x:v>
      </x:c>
      <x:c r="D47" s="14" t="str">
        <x:v>관수·조경자재</x:v>
      </x:c>
      <x:c r="E47" s="14" t="str">
        <x:v>대한민국</x:v>
      </x:c>
      <x:c r="F47" s="14" t="str">
        <x:v>관수·조경자재 전문유통</x:v>
      </x:c>
      <x:c r="G47" s="14" t="str">
        <x:v>02-579-5083 / 010-5212-3846</x:v>
      </x:c>
      <x:c r="H47" s="14" t="str">
        <x:v>wangco@wangco.co.kr</x:v>
      </x:c>
      <x:c r="I47" s="14" t="str">
        <x:v>A</x:v>
      </x:c>
      <x:c r="J47" s="14" t="str">
        <x:v>공식 가든라이프/원예자재왕농사 사이트</x:v>
      </x:c>
      <x:c r="K47" s="14" t="str">
        <x:v>공식 상품/이용안내 페이지 반복 표기</x:v>
      </x:c>
      <x:c r="L47" s="14" t="str">
        <x:v>B2B/대량구매 문의</x:v>
      </x:c>
      <x:c r="M47" s="14" t="str">
        <x:v>O</x:v>
      </x:c>
      <x:c r="N47" s="14" t="str">
        <x:v>문의 필요</x:v>
      </x:c>
      <x:c r="O47" s="14" t="str">
        <x:v>문의 필요</x:v>
      </x:c>
      <x:c r="P47" s="14" t="str">
        <x:v>O(도매/대량구입 문의 환영 공개)</x:v>
      </x:c>
      <x:c r="Q47" s="14" t="str">
        <x:v>문의 필요</x:v>
      </x:c>
      <x:c r="R47" s="14" t="str">
        <x:v>문의 필요</x:v>
      </x:c>
      <x:c r="S47" s="14" t="str">
        <x:v>문의 필요</x:v>
      </x:c>
      <x:c r="T47" s="14" t="str">
        <x:v>사전승인 필요(공개 허용 문구 없음)</x:v>
      </x:c>
      <x:c r="U47" s="14" t="n">
        <x:v>60</x:v>
      </x:c>
      <x:c r="V47" s="14" t="str">
        <x:v>Y</x:v>
      </x:c>
      <x:c r="W47" s="14" t="str">
        <x:v>Y</x:v>
      </x:c>
      <x:c r="X47" s="14" t="str">
        <x:v>Y</x:v>
      </x:c>
      <x:c r="Y47" s="14" t="str">
        <x:v>N</x:v>
      </x:c>
      <x:c r="Z47" s="14" t="str">
        <x:v>N</x:v>
      </x:c>
      <x:c r="AA47" s="14" t="n">
        <x:f>MAX(20,U47-IF(V47="Y",12,0)-IF(W47="Y",8,0)-IF(X47="Y",8,0)-IF(Y47="Y",8,0)-IF(Z47="Y",6,0))</x:f>
        <x:v>32</x:v>
      </x:c>
      <x:c r="AB47" s="14" t="n">
        <x:v>91</x:v>
      </x:c>
      <x:c r="AC47" s="14" t="n">
        <x:f>ROUND(AB47*0.45+AA47*0.30+IF(I47="A",100,IF(I47="B",85,IF(I47="C",55,IF(I47="CONFLICT",25,35))))*0.20+IF(E47="대한민국",100,25)*0.05,0)</x:f>
        <x:v>76</x:v>
      </x:c>
      <x:c r="AD47" s="14" t="str">
        <x:v>메일발송 가능</x:v>
      </x:c>
      <x:c r="AE47" s="14" t="str">
        <x:v>온라인 리셀러 허용 / 공급가·MOQ / 위탁·직배송 / 설치권역 / A/S 책임 / 제품사진·상세페이지 사용승인 / OEM·PB 가능 여부</x:v>
      </x:c>
      <x:c r="AF47" s="14" t="str">
        <x:v>https://www.gardenlife.kr/service/company.php</x:v>
      </x:c>
      <x:c r="AG47" s="14" t="str"/>
      <x:c r="AH47" s="14" t="str">
        <x:v>2026-08-13</x:v>
      </x:c>
    </x:row>
    <x:row r="48" ht="54" customHeight="1">
      <x:c r="A48" s="14" t="str">
        <x:v>EXP-065</x:v>
      </x:c>
      <x:c r="B48" s="14" t="str">
        <x:v>S07</x:v>
      </x:c>
      <x:c r="C48" s="14" t="str">
        <x:v>미성종합자재</x:v>
      </x:c>
      <x:c r="D48" s="14" t="str">
        <x:v>조경·정원·관수자재</x:v>
      </x:c>
      <x:c r="E48" s="14" t="str">
        <x:v>대한민국</x:v>
      </x:c>
      <x:c r="F48" s="14" t="str">
        <x:v>조경·정원자재 전문유통</x:v>
      </x:c>
      <x:c r="G48" s="14" t="str">
        <x:v>1566-5406</x:v>
      </x:c>
      <x:c r="H48" s="14" t="str">
        <x:v>emija@hanmail.net</x:v>
      </x:c>
      <x:c r="I48" s="14" t="str">
        <x:v>A</x:v>
      </x:c>
      <x:c r="J48" s="14" t="str">
        <x:v>공식 홈페이지</x:v>
      </x:c>
      <x:c r="K48" s="14" t="str">
        <x:v>공식 회사/이용안내 페이지 동일 표기</x:v>
      </x:c>
      <x:c r="L48" s="14" t="str">
        <x:v>고객센터+대표메일</x:v>
      </x:c>
      <x:c r="M48" s="14" t="str">
        <x:v>O</x:v>
      </x:c>
      <x:c r="N48" s="14" t="str">
        <x:v>문의 필요</x:v>
      </x:c>
      <x:c r="O48" s="14" t="str">
        <x:v>문의 필요</x:v>
      </x:c>
      <x:c r="P48" s="14" t="str">
        <x:v>문의 필요</x:v>
      </x:c>
      <x:c r="Q48" s="14" t="str">
        <x:v>문의 필요</x:v>
      </x:c>
      <x:c r="R48" s="14" t="str">
        <x:v>문의 필요</x:v>
      </x:c>
      <x:c r="S48" s="14" t="str">
        <x:v>문의 필요</x:v>
      </x:c>
      <x:c r="T48" s="14" t="str">
        <x:v>사전승인 필요(공개 허용 문구 없음)</x:v>
      </x:c>
      <x:c r="U48" s="14" t="n">
        <x:v>50</x:v>
      </x:c>
      <x:c r="V48" s="14" t="str">
        <x:v>Y</x:v>
      </x:c>
      <x:c r="W48" s="14" t="str">
        <x:v>Y</x:v>
      </x:c>
      <x:c r="X48" s="14" t="str">
        <x:v>Y</x:v>
      </x:c>
      <x:c r="Y48" s="14" t="str">
        <x:v>N</x:v>
      </x:c>
      <x:c r="Z48" s="14" t="str">
        <x:v>N</x:v>
      </x:c>
      <x:c r="AA48" s="14" t="n">
        <x:f>MAX(20,U48-IF(V48="Y",12,0)-IF(W48="Y",8,0)-IF(X48="Y",8,0)-IF(Y48="Y",8,0)-IF(Z48="Y",6,0))</x:f>
        <x:v>22</x:v>
      </x:c>
      <x:c r="AB48" s="14" t="n">
        <x:v>94</x:v>
      </x:c>
      <x:c r="AC48" s="14" t="n">
        <x:f>ROUND(AB48*0.45+AA48*0.30+IF(I48="A",100,IF(I48="B",85,IF(I48="C",55,IF(I48="CONFLICT",25,35))))*0.20+IF(E48="대한민국",100,25)*0.05,0)</x:f>
        <x:v>74</x:v>
      </x:c>
      <x:c r="AD48" s="14" t="str">
        <x:v>메일발송 가능</x:v>
      </x:c>
      <x:c r="AE48" s="14" t="str">
        <x:v>온라인 리셀러 허용 / 공급가·MOQ / 위탁·직배송 / 설치권역 / A/S 책임 / 제품사진·상세페이지 사용승인 / OEM·PB 가능 여부</x:v>
      </x:c>
      <x:c r="AF48" s="14" t="str">
        <x:v>https://emija.com/</x:v>
      </x:c>
      <x:c r="AG48" s="14" t="str"/>
      <x:c r="AH48" s="14" t="str">
        <x:v>2026-08-13</x:v>
      </x:c>
    </x:row>
    <x:row r="49" ht="54" customHeight="1">
      <x:c r="A49" s="14" t="str">
        <x:v>EXP-066</x:v>
      </x:c>
      <x:c r="B49" s="14" t="str">
        <x:v>S07</x:v>
      </x:c>
      <x:c r="C49" s="14" t="str">
        <x:v>계림조경자재</x:v>
      </x:c>
      <x:c r="D49" s="14" t="str">
        <x:v>조경·정원자재</x:v>
      </x:c>
      <x:c r="E49" s="14" t="str">
        <x:v>대한민국</x:v>
      </x:c>
      <x:c r="F49" s="14" t="str">
        <x:v>조경·정원자재 개발·생산·판매</x:v>
      </x:c>
      <x:c r="G49" s="14" t="str">
        <x:v>1899-9226 / 010-9979-9226</x:v>
      </x:c>
      <x:c r="H49" s="14" t="str">
        <x:v>k7919226@hanmail.net</x:v>
      </x:c>
      <x:c r="I49" s="14" t="str">
        <x:v>A</x:v>
      </x:c>
      <x:c r="J49" s="14" t="str">
        <x:v>공식 홈페이지</x:v>
      </x:c>
      <x:c r="K49" s="14" t="str">
        <x:v>공식 회원/견적 관련 페이지 반복 표기</x:v>
      </x:c>
      <x:c r="L49" s="14" t="str">
        <x:v>견적/대표메일</x:v>
      </x:c>
      <x:c r="M49" s="14" t="str">
        <x:v>O</x:v>
      </x:c>
      <x:c r="N49" s="14" t="str">
        <x:v>문의 필요</x:v>
      </x:c>
      <x:c r="O49" s="14" t="str">
        <x:v>문의 필요</x:v>
      </x:c>
      <x:c r="P49" s="14" t="str">
        <x:v>문의 필요</x:v>
      </x:c>
      <x:c r="Q49" s="14" t="str">
        <x:v>문의 필요(생산 공개)</x:v>
      </x:c>
      <x:c r="R49" s="14" t="str">
        <x:v>문의 필요</x:v>
      </x:c>
      <x:c r="S49" s="14" t="str">
        <x:v>문의 필요</x:v>
      </x:c>
      <x:c r="T49" s="14" t="str">
        <x:v>사전승인 필요(공개 허용 문구 없음)</x:v>
      </x:c>
      <x:c r="U49" s="14" t="n">
        <x:v>74</x:v>
      </x:c>
      <x:c r="V49" s="14" t="str">
        <x:v>Y</x:v>
      </x:c>
      <x:c r="W49" s="14" t="str">
        <x:v>Y</x:v>
      </x:c>
      <x:c r="X49" s="14" t="str">
        <x:v>Y</x:v>
      </x:c>
      <x:c r="Y49" s="14" t="str">
        <x:v>N</x:v>
      </x:c>
      <x:c r="Z49" s="14" t="str">
        <x:v>N</x:v>
      </x:c>
      <x:c r="AA49" s="14" t="n">
        <x:f>MAX(20,U49-IF(V49="Y",12,0)-IF(W49="Y",8,0)-IF(X49="Y",8,0)-IF(Y49="Y",8,0)-IF(Z49="Y",6,0))</x:f>
        <x:v>46</x:v>
      </x:c>
      <x:c r="AB49" s="14" t="n">
        <x:v>94</x:v>
      </x:c>
      <x:c r="AC49" s="14" t="n">
        <x:f>ROUND(AB49*0.45+AA49*0.30+IF(I49="A",100,IF(I49="B",85,IF(I49="C",55,IF(I49="CONFLICT",25,35))))*0.20+IF(E49="대한민국",100,25)*0.05,0)</x:f>
        <x:v>81</x:v>
      </x:c>
      <x:c r="AD49" s="14" t="str">
        <x:v>메일발송 가능</x:v>
      </x:c>
      <x:c r="AE49" s="14" t="str">
        <x:v>온라인 리셀러 허용 / 공급가·MOQ / 위탁·직배송 / 설치권역 / A/S 책임 / 제품사진·상세페이지 사용승인 / OEM·PB 가능 여부</x:v>
      </x:c>
      <x:c r="AF49" s="14" t="str">
        <x:v>https://ke-lim.com/bbs/content.php?co_id=company&amp;device=pc</x:v>
      </x:c>
      <x:c r="AG49" s="14" t="str"/>
      <x:c r="AH49" s="14" t="str">
        <x:v>2026-08-13</x:v>
      </x:c>
    </x:row>
    <x:row r="50" ht="54" customHeight="1">
      <x:c r="A50" s="14" t="str">
        <x:v>EXP-067</x:v>
      </x:c>
      <x:c r="B50" s="14" t="str">
        <x:v>S07</x:v>
      </x:c>
      <x:c r="C50" s="14" t="str">
        <x:v>큐빅스(Qubics)</x:v>
      </x:c>
      <x:c r="D50" s="14" t="str">
        <x:v>스마트 자동관수</x:v>
      </x:c>
      <x:c r="E50" s="14" t="str">
        <x:v>대한민국</x:v>
      </x:c>
      <x:c r="F50" s="14" t="str">
        <x:v>IoT 자동관수 솔루션</x:v>
      </x:c>
      <x:c r="G50" s="14" t="str">
        <x:v>031-949-9255 / 070-8845-7778</x:v>
      </x:c>
      <x:c r="H50" s="14" t="str">
        <x:v>info@qubics.kr</x:v>
      </x:c>
      <x:c r="I50" s="14" t="str">
        <x:v>B</x:v>
      </x:c>
      <x:c r="J50" s="14" t="str">
        <x:v>공식 Contact 페이지</x:v>
      </x:c>
      <x:c r="K50" s="14" t="str"/>
      <x:c r="L50" s="14" t="str">
        <x:v>대표메일+Contact</x:v>
      </x:c>
      <x:c r="M50" s="14" t="str">
        <x:v>미확인</x:v>
      </x:c>
      <x:c r="N50" s="14" t="str">
        <x:v>문의 필요</x:v>
      </x:c>
      <x:c r="O50" s="14" t="str">
        <x:v>문의 필요</x:v>
      </x:c>
      <x:c r="P50" s="14" t="str">
        <x:v>문의 필요</x:v>
      </x:c>
      <x:c r="Q50" s="14" t="str">
        <x:v>문의 필요</x:v>
      </x:c>
      <x:c r="R50" s="14" t="str">
        <x:v>문의 필요</x:v>
      </x:c>
      <x:c r="S50" s="14" t="str">
        <x:v>문의 필요</x:v>
      </x:c>
      <x:c r="T50" s="14" t="str">
        <x:v>사전승인 필요(공개 허용 문구 없음)</x:v>
      </x:c>
      <x:c r="U50" s="14" t="n">
        <x:v>72</x:v>
      </x:c>
      <x:c r="V50" s="14" t="str">
        <x:v>N</x:v>
      </x:c>
      <x:c r="W50" s="14" t="str">
        <x:v>N</x:v>
      </x:c>
      <x:c r="X50" s="14" t="str">
        <x:v>Y</x:v>
      </x:c>
      <x:c r="Y50" s="14" t="str">
        <x:v>Y</x:v>
      </x:c>
      <x:c r="Z50" s="14" t="str">
        <x:v>N</x:v>
      </x:c>
      <x:c r="AA50" s="14" t="n">
        <x:f>MAX(20,U50-IF(V50="Y",12,0)-IF(W50="Y",8,0)-IF(X50="Y",8,0)-IF(Y50="Y",8,0)-IF(Z50="Y",6,0))</x:f>
        <x:v>56</x:v>
      </x:c>
      <x:c r="AB50" s="14" t="n">
        <x:v>92</x:v>
      </x:c>
      <x:c r="AC50" s="14" t="n">
        <x:f>ROUND(AB50*0.45+AA50*0.30+IF(I50="A",100,IF(I50="B",85,IF(I50="C",55,IF(I50="CONFLICT",25,35))))*0.20+IF(E50="대한민국",100,25)*0.05,0)</x:f>
        <x:v>80</x:v>
      </x:c>
      <x:c r="AD50" s="14" t="str">
        <x:v>메일발송 가능</x:v>
      </x:c>
      <x:c r="AE50" s="14" t="str">
        <x:v>온라인 리셀러 허용 / 공급가·MOQ / 위탁·직배송 / 설치권역 / A/S 책임 / 제품사진·상세페이지 사용승인 / OEM·PB 가능 여부</x:v>
      </x:c>
      <x:c r="AF50" s="14" t="str">
        <x:v>https://www.qubics.kr/index.php/menu-iotsolution/auto-watering/</x:v>
      </x:c>
      <x:c r="AG50" s="14" t="str"/>
      <x:c r="AH50" s="14" t="str">
        <x:v>2026-08-13</x:v>
      </x:c>
    </x:row>
    <x:row r="51" ht="54" customHeight="1">
      <x:c r="A51" s="14" t="str">
        <x:v>EXP-071</x:v>
      </x:c>
      <x:c r="B51" s="14" t="str">
        <x:v>S08</x:v>
      </x:c>
      <x:c r="C51" s="14" t="str">
        <x:v>에스제이이(주) / 성진옵티마</x:v>
      </x:c>
      <x:c r="D51" s="14" t="str">
        <x:v>스팀세척기</x:v>
      </x:c>
      <x:c r="E51" s="14" t="str">
        <x:v>대한민국</x:v>
      </x:c>
      <x:c r="F51" s="14" t="str">
        <x:v>국내 스팀세척기 제조</x:v>
      </x:c>
      <x:c r="G51" s="14" t="str">
        <x:v>1577-9170 / 051-521-3305</x:v>
      </x:c>
      <x:c r="H51" s="14" t="str">
        <x:v>info@sjecorp.com</x:v>
      </x:c>
      <x:c r="I51" s="14" t="str">
        <x:v>B</x:v>
      </x:c>
      <x:c r="J51" s="14" t="str">
        <x:v>공식 문의 페이지</x:v>
      </x:c>
      <x:c r="K51" s="14" t="str"/>
      <x:c r="L51" s="14" t="str">
        <x:v>구매/렌탈/기술/견적 + A/S 접수</x:v>
      </x:c>
      <x:c r="M51" s="14" t="str">
        <x:v>O</x:v>
      </x:c>
      <x:c r="N51" s="14" t="str">
        <x:v>문의 필요</x:v>
      </x:c>
      <x:c r="O51" s="14" t="str">
        <x:v>문의 필요</x:v>
      </x:c>
      <x:c r="P51" s="14" t="str">
        <x:v>문의 필요</x:v>
      </x:c>
      <x:c r="Q51" s="14" t="str">
        <x:v>문의 필요</x:v>
      </x:c>
      <x:c r="R51" s="14" t="str">
        <x:v>문의 필요</x:v>
      </x:c>
      <x:c r="S51" s="14" t="str">
        <x:v>O(A/S 접수 공개)</x:v>
      </x:c>
      <x:c r="T51" s="14" t="str">
        <x:v>사전승인 필요(공개 허용 문구 없음)</x:v>
      </x:c>
      <x:c r="U51" s="14" t="n">
        <x:v>50</x:v>
      </x:c>
      <x:c r="V51" s="14" t="str">
        <x:v>Y</x:v>
      </x:c>
      <x:c r="W51" s="14" t="str">
        <x:v>Y</x:v>
      </x:c>
      <x:c r="X51" s="14" t="str">
        <x:v>Y</x:v>
      </x:c>
      <x:c r="Y51" s="14" t="str">
        <x:v>N</x:v>
      </x:c>
      <x:c r="Z51" s="14" t="str">
        <x:v>Y</x:v>
      </x:c>
      <x:c r="AA51" s="14" t="n">
        <x:f>MAX(20,U51-IF(V51="Y",12,0)-IF(W51="Y",8,0)-IF(X51="Y",8,0)-IF(Y51="Y",8,0)-IF(Z51="Y",6,0))</x:f>
        <x:v>20</x:v>
      </x:c>
      <x:c r="AB51" s="14" t="n">
        <x:v>97</x:v>
      </x:c>
      <x:c r="AC51" s="14" t="n">
        <x:f>ROUND(AB51*0.45+AA51*0.30+IF(I51="A",100,IF(I51="B",85,IF(I51="C",55,IF(I51="CONFLICT",25,35))))*0.20+IF(E51="대한민국",100,25)*0.05,0)</x:f>
        <x:v>72</x:v>
      </x:c>
      <x:c r="AD51" s="14" t="str">
        <x:v>메일발송 가능</x:v>
      </x:c>
      <x:c r="AE51" s="14" t="str">
        <x:v>온라인 리셀러 허용 / 공급가·MOQ / 위탁·직배송 / 설치권역 / A/S 책임 / 제품사진·상세페이지 사용승인 / OEM·PB 가능 여부</x:v>
      </x:c>
      <x:c r="AF51" s="14" t="str">
        <x:v>https://www.sjecorp.co.kr/</x:v>
      </x:c>
      <x:c r="AG51" s="14" t="str">
        <x:v>v3의 051-521-3200보다 현재 공식 문의페이지 연락처를 우선.</x:v>
      </x:c>
      <x:c r="AH51" s="14" t="str">
        <x:v>2026-08-13</x:v>
      </x:c>
    </x:row>
    <x:row r="52" ht="54" customHeight="1">
      <x:c r="A52" s="14" t="str">
        <x:v>EXP-072</x:v>
      </x:c>
      <x:c r="B52" s="14" t="str">
        <x:v>S08</x:v>
      </x:c>
      <x:c r="C52" s="14" t="str">
        <x:v>스팀지니</x:v>
      </x:c>
      <x:c r="D52" s="14" t="str">
        <x:v>산업용 스팀청소장비</x:v>
      </x:c>
      <x:c r="E52" s="14" t="str">
        <x:v>대한민국</x:v>
      </x:c>
      <x:c r="F52" s="14" t="str">
        <x:v>해외 스팀장비 수입·국내공급</x:v>
      </x:c>
      <x:c r="G52" s="14" t="str">
        <x:v>1588-2719</x:v>
      </x:c>
      <x:c r="H52" s="14" t="str">
        <x:v>master@steamgenie.co.kr</x:v>
      </x:c>
      <x:c r="I52" s="14" t="str">
        <x:v>B</x:v>
      </x:c>
      <x:c r="J52" s="14" t="str">
        <x:v>공식 파트너/문의 페이지</x:v>
      </x:c>
      <x:c r="K52" s="14" t="str"/>
      <x:c r="L52" s="14" t="str">
        <x:v>영업팀</x:v>
      </x:c>
      <x:c r="M52" s="14" t="str">
        <x:v>미확인</x:v>
      </x:c>
      <x:c r="N52" s="14" t="str">
        <x:v>문의 필요</x:v>
      </x:c>
      <x:c r="O52" s="14" t="str">
        <x:v>문의 필요</x:v>
      </x:c>
      <x:c r="P52" s="14" t="str">
        <x:v>B2B 영업문의</x:v>
      </x:c>
      <x:c r="Q52" s="14" t="str">
        <x:v>문의 필요</x:v>
      </x:c>
      <x:c r="R52" s="14" t="str">
        <x:v>문의 필요</x:v>
      </x:c>
      <x:c r="S52" s="14" t="str">
        <x:v>문의 필요</x:v>
      </x:c>
      <x:c r="T52" s="14" t="str">
        <x:v>사전승인 필요(공개 허용 문구 없음)</x:v>
      </x:c>
      <x:c r="U52" s="14" t="n">
        <x:v>72</x:v>
      </x:c>
      <x:c r="V52" s="14" t="str">
        <x:v>N</x:v>
      </x:c>
      <x:c r="W52" s="14" t="str">
        <x:v>N</x:v>
      </x:c>
      <x:c r="X52" s="14" t="str">
        <x:v>Y</x:v>
      </x:c>
      <x:c r="Y52" s="14" t="str">
        <x:v>Y</x:v>
      </x:c>
      <x:c r="Z52" s="14" t="str">
        <x:v>N</x:v>
      </x:c>
      <x:c r="AA52" s="14" t="n">
        <x:f>MAX(20,U52-IF(V52="Y",12,0)-IF(W52="Y",8,0)-IF(X52="Y",8,0)-IF(Y52="Y",8,0)-IF(Z52="Y",6,0))</x:f>
        <x:v>56</x:v>
      </x:c>
      <x:c r="AB52" s="14" t="n">
        <x:v>90</x:v>
      </x:c>
      <x:c r="AC52" s="14" t="n">
        <x:f>ROUND(AB52*0.45+AA52*0.30+IF(I52="A",100,IF(I52="B",85,IF(I52="C",55,IF(I52="CONFLICT",25,35))))*0.20+IF(E52="대한민국",100,25)*0.05,0)</x:f>
        <x:v>79</x:v>
      </x:c>
      <x:c r="AD52" s="14" t="str">
        <x:v>메일발송 가능</x:v>
      </x:c>
      <x:c r="AE52" s="14" t="str">
        <x:v>온라인 리셀러 허용 / 공급가·MOQ / 위탁·직배송 / 설치권역 / A/S 책임 / 제품사진·상세페이지 사용승인 / OEM·PB 가능 여부</x:v>
      </x:c>
      <x:c r="AF52" s="14" t="str">
        <x:v>https://steamgenie.co.kr/</x:v>
      </x:c>
      <x:c r="AG52" s="14" t="str"/>
      <x:c r="AH52" s="14" t="str">
        <x:v>2026-08-13</x:v>
      </x:c>
    </x:row>
    <x:row r="53" ht="54" customHeight="1">
      <x:c r="A53" s="14" t="str">
        <x:v>EXP-073</x:v>
      </x:c>
      <x:c r="B53" s="14" t="str">
        <x:v>S08</x:v>
      </x:c>
      <x:c r="C53" s="14" t="str">
        <x:v>보흥클레온 / CLEON</x:v>
      </x:c>
      <x:c r="D53" s="14" t="str">
        <x:v>고압세척·청소장비</x:v>
      </x:c>
      <x:c r="E53" s="14" t="str">
        <x:v>대한민국</x:v>
      </x:c>
      <x:c r="F53" s="14" t="str">
        <x:v>청소장비 제조·유통</x:v>
      </x:c>
      <x:c r="G53" s="14" t="str">
        <x:v>1577-6234</x:v>
      </x:c>
      <x:c r="H53" s="14" t="str">
        <x:v>공개 이메일 미확인</x:v>
      </x:c>
      <x:c r="I53" s="14" t="str">
        <x:v>X</x:v>
      </x:c>
      <x:c r="J53" s="14" t="str"/>
      <x:c r="K53" s="14" t="str"/>
      <x:c r="L53" s="14" t="str">
        <x:v>고객센터/쇼핑몰 문의</x:v>
      </x:c>
      <x:c r="M53" s="14" t="str">
        <x:v>O</x:v>
      </x:c>
      <x:c r="N53" s="14" t="str">
        <x:v>문의 필요</x:v>
      </x:c>
      <x:c r="O53" s="14" t="str">
        <x:v>문의 필요</x:v>
      </x:c>
      <x:c r="P53" s="14" t="str">
        <x:v>문의 필요</x:v>
      </x:c>
      <x:c r="Q53" s="14" t="str">
        <x:v>문의 필요</x:v>
      </x:c>
      <x:c r="R53" s="14" t="str">
        <x:v>문의 필요</x:v>
      </x:c>
      <x:c r="S53" s="14" t="str">
        <x:v>O(A/S 및 보증정보 공개)</x:v>
      </x:c>
      <x:c r="T53" s="14" t="str">
        <x:v>사전승인 필요(공개 허용 문구 없음)</x:v>
      </x:c>
      <x:c r="U53" s="14" t="n">
        <x:v>45</x:v>
      </x:c>
      <x:c r="V53" s="14" t="str">
        <x:v>Y</x:v>
      </x:c>
      <x:c r="W53" s="14" t="str">
        <x:v>Y</x:v>
      </x:c>
      <x:c r="X53" s="14" t="str">
        <x:v>Y</x:v>
      </x:c>
      <x:c r="Y53" s="14" t="str">
        <x:v>Y</x:v>
      </x:c>
      <x:c r="Z53" s="14" t="str">
        <x:v>Y</x:v>
      </x:c>
      <x:c r="AA53" s="14" t="n">
        <x:f>MAX(20,U53-IF(V53="Y",12,0)-IF(W53="Y",8,0)-IF(X53="Y",8,0)-IF(Y53="Y",8,0)-IF(Z53="Y",6,0))</x:f>
        <x:v>20</x:v>
      </x:c>
      <x:c r="AB53" s="14" t="n">
        <x:v>96</x:v>
      </x:c>
      <x:c r="AC53" s="14" t="n">
        <x:f>ROUND(AB53*0.45+AA53*0.30+IF(I53="A",100,IF(I53="B",85,IF(I53="C",55,IF(I53="CONFLICT",25,35))))*0.20+IF(E53="대한민국",100,25)*0.05,0)</x:f>
        <x:v>61</x:v>
      </x:c>
      <x:c r="AD53" s="14" t="str">
        <x:v>전화/사이트 문의 선행</x:v>
      </x:c>
      <x:c r="AE53" s="14" t="str">
        <x:v>온라인 리셀러 허용 / 공급가·MOQ / 위탁·직배송 / 설치권역 / A/S 책임 / 제품사진·상세페이지 사용승인 / OEM·PB 가능 여부</x:v>
      </x:c>
      <x:c r="AF53" s="14" t="str">
        <x:v>https://www.cleon.co.kr/</x:v>
      </x:c>
      <x:c r="AG53" s="14" t="str">
        <x:v>공개 이메일은 확인하지 못했으나 온라인몰·FAQ·A/S 체계가 매우 강함.</x:v>
      </x:c>
      <x:c r="AH53" s="14" t="str">
        <x:v>2026-08-13</x:v>
      </x:c>
    </x:row>
    <x:row r="54" ht="54" customHeight="1">
      <x:c r="A54" s="14" t="str">
        <x:v>EXP-075</x:v>
      </x:c>
      <x:c r="B54" s="14" t="str">
        <x:v>S08</x:v>
      </x:c>
      <x:c r="C54" s="14" t="str">
        <x:v>성화제작소 / (주)성화</x:v>
      </x:c>
      <x:c r="D54" s="14" t="str">
        <x:v>고압·스팀·초고압세척</x:v>
      </x:c>
      <x:c r="E54" s="14" t="str">
        <x:v>대한민국</x:v>
      </x:c>
      <x:c r="F54" s="14" t="str">
        <x:v>고압/스팀세척 장비 제조</x:v>
      </x:c>
      <x:c r="G54" s="14" t="str">
        <x:v>032-670-7311~3 / 02-884-6270~1</x:v>
      </x:c>
      <x:c r="H54" s="14" t="str">
        <x:v>shinc@shinc.co.kr</x:v>
      </x:c>
      <x:c r="I54" s="14" t="str">
        <x:v>A</x:v>
      </x:c>
      <x:c r="J54" s="14" t="str">
        <x:v>공식 제품 카탈로그 PDF</x:v>
      </x:c>
      <x:c r="K54" s="14" t="str">
        <x:v>공식 A/S/회사 웹과 도메인 일치</x:v>
      </x:c>
      <x:c r="L54" s="14" t="str">
        <x:v>대표메일+A/S</x:v>
      </x:c>
      <x:c r="M54" s="14" t="str">
        <x:v>미확인</x:v>
      </x:c>
      <x:c r="N54" s="14" t="str">
        <x:v>문의 필요</x:v>
      </x:c>
      <x:c r="O54" s="14" t="str">
        <x:v>문의 필요</x:v>
      </x:c>
      <x:c r="P54" s="14" t="str">
        <x:v>문의 필요</x:v>
      </x:c>
      <x:c r="Q54" s="14" t="str">
        <x:v>문의 필요</x:v>
      </x:c>
      <x:c r="R54" s="14" t="str">
        <x:v>문의 필요</x:v>
      </x:c>
      <x:c r="S54" s="14" t="str">
        <x:v>O(A/S 신청 페이지)</x:v>
      </x:c>
      <x:c r="T54" s="14" t="str">
        <x:v>사전승인 필요(공개 허용 문구 없음)</x:v>
      </x:c>
      <x:c r="U54" s="14" t="n">
        <x:v>62</x:v>
      </x:c>
      <x:c r="V54" s="14" t="str">
        <x:v>N</x:v>
      </x:c>
      <x:c r="W54" s="14" t="str">
        <x:v>N</x:v>
      </x:c>
      <x:c r="X54" s="14" t="str">
        <x:v>Y</x:v>
      </x:c>
      <x:c r="Y54" s="14" t="str">
        <x:v>N</x:v>
      </x:c>
      <x:c r="Z54" s="14" t="str">
        <x:v>Y</x:v>
      </x:c>
      <x:c r="AA54" s="14" t="n">
        <x:f>MAX(20,U54-IF(V54="Y",12,0)-IF(W54="Y",8,0)-IF(X54="Y",8,0)-IF(Y54="Y",8,0)-IF(Z54="Y",6,0))</x:f>
        <x:v>48</x:v>
      </x:c>
      <x:c r="AB54" s="14" t="n">
        <x:v>97</x:v>
      </x:c>
      <x:c r="AC54" s="14" t="n">
        <x:f>ROUND(AB54*0.45+AA54*0.30+IF(I54="A",100,IF(I54="B",85,IF(I54="C",55,IF(I54="CONFLICT",25,35))))*0.20+IF(E54="대한민국",100,25)*0.05,0)</x:f>
        <x:v>83</x:v>
      </x:c>
      <x:c r="AD54" s="14" t="str">
        <x:v>메일발송 가능</x:v>
      </x:c>
      <x:c r="AE54" s="14" t="str">
        <x:v>온라인 리셀러 허용 / 공급가·MOQ / 위탁·직배송 / 설치권역 / A/S 책임 / 제품사진·상세페이지 사용승인 / OEM·PB 가능 여부</x:v>
      </x:c>
      <x:c r="AF54" s="14" t="str">
        <x:v>https://www.shinc.co.kr/</x:v>
      </x:c>
      <x:c r="AG54" s="14" t="str"/>
      <x:c r="AH54" s="14" t="str">
        <x:v>2026-08-13</x:v>
      </x:c>
    </x:row>
    <x:row r="55" ht="54" customHeight="1">
      <x:c r="A55" s="14" t="str">
        <x:v>EXP-082</x:v>
      </x:c>
      <x:c r="B55" s="14" t="str">
        <x:v>S09</x:v>
      </x:c>
      <x:c r="C55" s="14" t="str">
        <x:v>이노일렉트릭</x:v>
      </x:c>
      <x:c r="D55" s="14" t="str">
        <x:v>주택용 태양광 인버터</x:v>
      </x:c>
      <x:c r="E55" s="14" t="str">
        <x:v>대한민국</x:v>
      </x:c>
      <x:c r="F55" s="14" t="str">
        <x:v>주택용 포함 태양광 인버터 개발·제조</x:v>
      </x:c>
      <x:c r="G55" s="14" t="str">
        <x:v>제품/기술 1533-2215 / A/S 070-8859-2253</x:v>
      </x:c>
      <x:c r="H55" s="14" t="str">
        <x:v>sales@swen.co.kr</x:v>
      </x:c>
      <x:c r="I55" s="14" t="str">
        <x:v>A</x:v>
      </x:c>
      <x:c r="J55" s="14" t="str">
        <x:v>공식 이노일렉트릭 제품/회사 페이지</x:v>
      </x:c>
      <x:c r="K55" s="14" t="str">
        <x:v>2026 대한민국 에너지대전 공식 참가정보 동일 표기</x:v>
      </x:c>
      <x:c r="L55" s="14" t="str">
        <x:v>Sales/제품기술</x:v>
      </x:c>
      <x:c r="M55" s="14" t="str">
        <x:v>미확인</x:v>
      </x:c>
      <x:c r="N55" s="14" t="str">
        <x:v>문의 필요</x:v>
      </x:c>
      <x:c r="O55" s="14" t="str">
        <x:v>문의 필요</x:v>
      </x:c>
      <x:c r="P55" s="14" t="str">
        <x:v>문의 필요</x:v>
      </x:c>
      <x:c r="Q55" s="14" t="str">
        <x:v>문의 필요</x:v>
      </x:c>
      <x:c r="R55" s="14" t="str">
        <x:v>문의 필요</x:v>
      </x:c>
      <x:c r="S55" s="14" t="str">
        <x:v>O(A/S 전용 연락처)</x:v>
      </x:c>
      <x:c r="T55" s="14" t="str">
        <x:v>사전승인 필요(공개 허용 문구 없음)</x:v>
      </x:c>
      <x:c r="U55" s="14" t="n">
        <x:v>78</x:v>
      </x:c>
      <x:c r="V55" s="14" t="str">
        <x:v>Y</x:v>
      </x:c>
      <x:c r="W55" s="14" t="str">
        <x:v>N</x:v>
      </x:c>
      <x:c r="X55" s="14" t="str">
        <x:v>Y</x:v>
      </x:c>
      <x:c r="Y55" s="14" t="str">
        <x:v>N</x:v>
      </x:c>
      <x:c r="Z55" s="14" t="str">
        <x:v>Y</x:v>
      </x:c>
      <x:c r="AA55" s="14" t="n">
        <x:f>MAX(20,U55-IF(V55="Y",12,0)-IF(W55="Y",8,0)-IF(X55="Y",8,0)-IF(Y55="Y",8,0)-IF(Z55="Y",6,0))</x:f>
        <x:v>52</x:v>
      </x:c>
      <x:c r="AB55" s="14" t="n">
        <x:v>96</x:v>
      </x:c>
      <x:c r="AC55" s="14" t="n">
        <x:f>ROUND(AB55*0.45+AA55*0.30+IF(I55="A",100,IF(I55="B",85,IF(I55="C",55,IF(I55="CONFLICT",25,35))))*0.20+IF(E55="대한민국",100,25)*0.05,0)</x:f>
        <x:v>84</x:v>
      </x:c>
      <x:c r="AD55" s="14" t="str">
        <x:v>메일발송 가능</x:v>
      </x:c>
      <x:c r="AE55" s="14" t="str">
        <x:v>온라인 리셀러 허용 / 공급가·MOQ / 위탁·직배송 / 설치권역 / A/S 책임 / 제품사진·상세페이지 사용승인 / OEM·PB 가능 여부</x:v>
      </x:c>
      <x:c r="AF55" s="14" t="str">
        <x:v>https://www.solartodaymag.com/news/articleView.html?idxno=20176</x:v>
      </x:c>
      <x:c r="AG55" s="14" t="str"/>
      <x:c r="AH55" s="14" t="str">
        <x:v>2026-08-13</x:v>
      </x:c>
    </x:row>
    <x:row r="56" ht="54" customHeight="1">
      <x:c r="A56" s="14" t="str">
        <x:v>EXP-086</x:v>
      </x:c>
      <x:c r="B56" s="14" t="str">
        <x:v>S09</x:v>
      </x:c>
      <x:c r="C56" s="14" t="str">
        <x:v>벨츠에너지 / 헵시바</x:v>
      </x:c>
      <x:c r="D56" s="14" t="str">
        <x:v>태양광 시스템·소형에너지</x:v>
      </x:c>
      <x:c r="E56" s="14" t="str">
        <x:v>대한민국</x:v>
      </x:c>
      <x:c r="F56" s="14" t="str">
        <x:v>태양광 설계·제조·시공·사후관리</x:v>
      </x:c>
      <x:c r="G56" s="14" t="str">
        <x:v>공식 사이트 전화 확인 필요</x:v>
      </x:c>
      <x:c r="H56" s="14" t="str">
        <x:v>sales@windrex.com</x:v>
      </x:c>
      <x:c r="I56" s="14" t="str">
        <x:v>A</x:v>
      </x:c>
      <x:c r="J56" s="14" t="str">
        <x:v>공식 벨츠에너지/헵시바 사이트</x:v>
      </x:c>
      <x:c r="K56" s="14" t="str">
        <x:v>공식 태양광/사업 페이지 반복 표기</x:v>
      </x:c>
      <x:c r="L56" s="14" t="str">
        <x:v>Sales</x:v>
      </x:c>
      <x:c r="M56" s="14" t="str">
        <x:v>미확인</x:v>
      </x:c>
      <x:c r="N56" s="14" t="str">
        <x:v>문의 필요</x:v>
      </x:c>
      <x:c r="O56" s="14" t="str">
        <x:v>문의 필요</x:v>
      </x:c>
      <x:c r="P56" s="14" t="str">
        <x:v>문의 필요</x:v>
      </x:c>
      <x:c r="Q56" s="14" t="str">
        <x:v>문의 필요</x:v>
      </x:c>
      <x:c r="R56" s="14" t="str">
        <x:v>주거/상업 설계·시공</x:v>
      </x:c>
      <x:c r="S56" s="14" t="str">
        <x:v>O(사후관리 표방)</x:v>
      </x:c>
      <x:c r="T56" s="14" t="str">
        <x:v>사전승인 필요(공개 허용 문구 없음)</x:v>
      </x:c>
      <x:c r="U56" s="14" t="n">
        <x:v>72</x:v>
      </x:c>
      <x:c r="V56" s="14" t="str">
        <x:v>N</x:v>
      </x:c>
      <x:c r="W56" s="14" t="str">
        <x:v>N</x:v>
      </x:c>
      <x:c r="X56" s="14" t="str">
        <x:v>Y</x:v>
      </x:c>
      <x:c r="Y56" s="14" t="str">
        <x:v>Y</x:v>
      </x:c>
      <x:c r="Z56" s="14" t="str">
        <x:v>Y</x:v>
      </x:c>
      <x:c r="AA56" s="14" t="n">
        <x:f>MAX(20,U56-IF(V56="Y",12,0)-IF(W56="Y",8,0)-IF(X56="Y",8,0)-IF(Y56="Y",8,0)-IF(Z56="Y",6,0))</x:f>
        <x:v>50</x:v>
      </x:c>
      <x:c r="AB56" s="14" t="n">
        <x:v>93</x:v>
      </x:c>
      <x:c r="AC56" s="14" t="n">
        <x:f>ROUND(AB56*0.45+AA56*0.30+IF(I56="A",100,IF(I56="B",85,IF(I56="C",55,IF(I56="CONFLICT",25,35))))*0.20+IF(E56="대한민국",100,25)*0.05,0)</x:f>
        <x:v>82</x:v>
      </x:c>
      <x:c r="AD56" s="14" t="str">
        <x:v>메일발송 가능</x:v>
      </x:c>
      <x:c r="AE56" s="14" t="str">
        <x:v>온라인 리셀러 허용 / 공급가·MOQ / 위탁·직배송 / 설치권역 / A/S 책임 / 제품사진·상세페이지 사용승인 / OEM·PB 가능 여부</x:v>
      </x:c>
      <x:c r="AF56" s="14" t="str">
        <x:v>https://www.windrex.co.kr/sub1_2.php</x:v>
      </x:c>
      <x:c r="AG56" s="14" t="str"/>
      <x:c r="AH56" s="14" t="str">
        <x:v>2026-08-13</x:v>
      </x:c>
    </x:row>
    <x:row r="57" ht="54" customHeight="1">
      <x:c r="A57" s="14" t="str">
        <x:v>EXP-091</x:v>
      </x:c>
      <x:c r="B57" s="14" t="str">
        <x:v>S10</x:v>
      </x:c>
      <x:c r="C57" s="14" t="str">
        <x:v>더플래이</x:v>
      </x:c>
      <x:c r="D57" s="14" t="str">
        <x:v>어린이 놀이시설</x:v>
      </x:c>
      <x:c r="E57" s="14" t="str">
        <x:v>대한민국</x:v>
      </x:c>
      <x:c r="F57" s="14" t="str">
        <x:v>어린이 놀이/환경시설 제조·공급</x:v>
      </x:c>
      <x:c r="G57" s="14" t="str">
        <x:v>031-943-4916</x:v>
      </x:c>
      <x:c r="H57" s="14" t="str">
        <x:v>help@the-play.kr</x:v>
      </x:c>
      <x:c r="I57" s="14" t="str">
        <x:v>A</x:v>
      </x:c>
      <x:c r="J57" s="14" t="str">
        <x:v>공식 홈페이지</x:v>
      </x:c>
      <x:c r="K57" s="14" t="str">
        <x:v>공식 제품/시공사례 페이지 다수 동일 표기</x:v>
      </x:c>
      <x:c r="L57" s="14" t="str">
        <x:v>대표메일+전화</x:v>
      </x:c>
      <x:c r="M57" s="14" t="str">
        <x:v>미확인</x:v>
      </x:c>
      <x:c r="N57" s="14" t="str">
        <x:v>문의 필요</x:v>
      </x:c>
      <x:c r="O57" s="14" t="str">
        <x:v>문의 필요</x:v>
      </x:c>
      <x:c r="P57" s="14" t="str">
        <x:v>문의 필요</x:v>
      </x:c>
      <x:c r="Q57" s="14" t="str">
        <x:v>문의 필요</x:v>
      </x:c>
      <x:c r="R57" s="14" t="str">
        <x:v>문의 필요</x:v>
      </x:c>
      <x:c r="S57" s="14" t="str">
        <x:v>문의 필요</x:v>
      </x:c>
      <x:c r="T57" s="14" t="str">
        <x:v>사전승인 필요(공개 허용 문구 없음)</x:v>
      </x:c>
      <x:c r="U57" s="14" t="n">
        <x:v>70</x:v>
      </x:c>
      <x:c r="V57" s="14" t="str">
        <x:v>N</x:v>
      </x:c>
      <x:c r="W57" s="14" t="str">
        <x:v>N</x:v>
      </x:c>
      <x:c r="X57" s="14" t="str">
        <x:v>Y</x:v>
      </x:c>
      <x:c r="Y57" s="14" t="str">
        <x:v>Y</x:v>
      </x:c>
      <x:c r="Z57" s="14" t="str">
        <x:v>N</x:v>
      </x:c>
      <x:c r="AA57" s="14" t="n">
        <x:f>MAX(20,U57-IF(V57="Y",12,0)-IF(W57="Y",8,0)-IF(X57="Y",8,0)-IF(Y57="Y",8,0)-IF(Z57="Y",6,0))</x:f>
        <x:v>54</x:v>
      </x:c>
      <x:c r="AB57" s="14" t="n">
        <x:v>92</x:v>
      </x:c>
      <x:c r="AC57" s="14" t="n">
        <x:f>ROUND(AB57*0.45+AA57*0.30+IF(I57="A",100,IF(I57="B",85,IF(I57="C",55,IF(I57="CONFLICT",25,35))))*0.20+IF(E57="대한민국",100,25)*0.05,0)</x:f>
        <x:v>83</x:v>
      </x:c>
      <x:c r="AD57" s="14" t="str">
        <x:v>메일발송 가능</x:v>
      </x:c>
      <x:c r="AE57" s="14" t="str">
        <x:v>온라인 리셀러 허용 / 공급가·MOQ / 위탁·직배송 / 설치권역 / A/S 책임 / 제품사진·상세페이지 사용승인 / OEM·PB 가능 여부</x:v>
      </x:c>
      <x:c r="AF57" s="14" t="str">
        <x:v>https://www.the-play.kr/</x:v>
      </x:c>
      <x:c r="AG57" s="14" t="str"/>
      <x:c r="AH57" s="14" t="str">
        <x:v>2026-08-13</x:v>
      </x:c>
    </x:row>
    <x:row r="58" ht="54" customHeight="1">
      <x:c r="A58" s="14" t="str">
        <x:v>EXP-092</x:v>
      </x:c>
      <x:c r="B58" s="14" t="str">
        <x:v>S10</x:v>
      </x:c>
      <x:c r="C58" s="14" t="str">
        <x:v>한국공원체육산업</x:v>
      </x:c>
      <x:c r="D58" s="14" t="str">
        <x:v>놀이·체육시설·탄성포장</x:v>
      </x:c>
      <x:c r="E58" s="14" t="str">
        <x:v>대한민국</x:v>
      </x:c>
      <x:c r="F58" s="14" t="str">
        <x:v>놀이·체육시설 제조·시공</x:v>
      </x:c>
      <x:c r="G58" s="14" t="str">
        <x:v>032-322-8272</x:v>
      </x:c>
      <x:c r="H58" s="14" t="str">
        <x:v>krpark8272@naver.com</x:v>
      </x:c>
      <x:c r="I58" s="14" t="str">
        <x:v>A</x:v>
      </x:c>
      <x:c r="J58" s="14" t="str">
        <x:v>공식 홈페이지</x:v>
      </x:c>
      <x:c r="K58" s="14" t="str">
        <x:v>공식 고객센터/회사/시공사례 반복 표기</x:v>
      </x:c>
      <x:c r="L58" s="14" t="str">
        <x:v>견적요청/설계자료요청</x:v>
      </x:c>
      <x:c r="M58" s="14" t="str">
        <x:v>미확인</x:v>
      </x:c>
      <x:c r="N58" s="14" t="str">
        <x:v>문의 필요</x:v>
      </x:c>
      <x:c r="O58" s="14" t="str">
        <x:v>문의 필요</x:v>
      </x:c>
      <x:c r="P58" s="14" t="str">
        <x:v>문의 필요</x:v>
      </x:c>
      <x:c r="Q58" s="14" t="str">
        <x:v>문의 필요</x:v>
      </x:c>
      <x:c r="R58" s="14" t="str">
        <x:v>문의 필요</x:v>
      </x:c>
      <x:c r="S58" s="14" t="str">
        <x:v>O(A/S 메뉴/지원)</x:v>
      </x:c>
      <x:c r="T58" s="14" t="str">
        <x:v>사전승인 필요(공개 허용 문구 없음)</x:v>
      </x:c>
      <x:c r="U58" s="14" t="n">
        <x:v>72</x:v>
      </x:c>
      <x:c r="V58" s="14" t="str">
        <x:v>Y</x:v>
      </x:c>
      <x:c r="W58" s="14" t="str">
        <x:v>N</x:v>
      </x:c>
      <x:c r="X58" s="14" t="str">
        <x:v>Y</x:v>
      </x:c>
      <x:c r="Y58" s="14" t="str">
        <x:v>Y</x:v>
      </x:c>
      <x:c r="Z58" s="14" t="str">
        <x:v>Y</x:v>
      </x:c>
      <x:c r="AA58" s="14" t="n">
        <x:f>MAX(20,U58-IF(V58="Y",12,0)-IF(W58="Y",8,0)-IF(X58="Y",8,0)-IF(Y58="Y",8,0)-IF(Z58="Y",6,0))</x:f>
        <x:v>38</x:v>
      </x:c>
      <x:c r="AB58" s="14" t="n">
        <x:v>94</x:v>
      </x:c>
      <x:c r="AC58" s="14" t="n">
        <x:f>ROUND(AB58*0.45+AA58*0.30+IF(I58="A",100,IF(I58="B",85,IF(I58="C",55,IF(I58="CONFLICT",25,35))))*0.20+IF(E58="대한민국",100,25)*0.05,0)</x:f>
        <x:v>79</x:v>
      </x:c>
      <x:c r="AD58" s="14" t="str">
        <x:v>메일발송 가능</x:v>
      </x:c>
      <x:c r="AE58" s="14" t="str">
        <x:v>온라인 리셀러 허용 / 공급가·MOQ / 위탁·직배송 / 설치권역 / A/S 책임 / 제품사진·상세페이지 사용승인 / OEM·PB 가능 여부</x:v>
      </x:c>
      <x:c r="AF58" s="14" t="str">
        <x:v>https://www.krpark.co.kr/</x:v>
      </x:c>
      <x:c r="AG58" s="14" t="str"/>
      <x:c r="AH58" s="14" t="str">
        <x:v>2026-08-13</x:v>
      </x:c>
    </x:row>
    <x:row r="59" ht="54" customHeight="1">
      <x:c r="A59" s="14" t="str">
        <x:v>EXP-093</x:v>
      </x:c>
      <x:c r="B59" s="14" t="str">
        <x:v>S10</x:v>
      </x:c>
      <x:c r="C59" s="14" t="str">
        <x:v>대건씨앤엘</x:v>
      </x:c>
      <x:c r="D59" s="14" t="str">
        <x:v>놀이시설 탄성포장</x:v>
      </x:c>
      <x:c r="E59" s="14" t="str">
        <x:v>대한민국</x:v>
      </x:c>
      <x:c r="F59" s="14" t="str">
        <x:v>탄성포장·놀이/체육자재 제조</x:v>
      </x:c>
      <x:c r="G59" s="14" t="str">
        <x:v>033-743-5035</x:v>
      </x:c>
      <x:c r="H59" s="14" t="str">
        <x:v>daegun21@daegun21.net</x:v>
      </x:c>
      <x:c r="I59" s="14" t="str">
        <x:v>A</x:v>
      </x:c>
      <x:c r="J59" s="14" t="str">
        <x:v>공식 홈페이지</x:v>
      </x:c>
      <x:c r="K59" s="14" t="str">
        <x:v>공식 회사/공장/인증/규격서 페이지 반복 표기</x:v>
      </x:c>
      <x:c r="L59" s="14" t="str">
        <x:v>제품문의/사업문의</x:v>
      </x:c>
      <x:c r="M59" s="14" t="str">
        <x:v>미확인</x:v>
      </x:c>
      <x:c r="N59" s="14" t="str">
        <x:v>문의 필요</x:v>
      </x:c>
      <x:c r="O59" s="14" t="str">
        <x:v>문의 필요</x:v>
      </x:c>
      <x:c r="P59" s="14" t="str">
        <x:v>B2B 사업문의</x:v>
      </x:c>
      <x:c r="Q59" s="14" t="str">
        <x:v>문의 필요</x:v>
      </x:c>
      <x:c r="R59" s="14" t="str">
        <x:v>문의 필요</x:v>
      </x:c>
      <x:c r="S59" s="14" t="str">
        <x:v>문의 필요</x:v>
      </x:c>
      <x:c r="T59" s="14" t="str">
        <x:v>사전승인 필요(공개 허용 문구 없음)</x:v>
      </x:c>
      <x:c r="U59" s="14" t="n">
        <x:v>76</x:v>
      </x:c>
      <x:c r="V59" s="14" t="str">
        <x:v>N</x:v>
      </x:c>
      <x:c r="W59" s="14" t="str">
        <x:v>N</x:v>
      </x:c>
      <x:c r="X59" s="14" t="str">
        <x:v>Y</x:v>
      </x:c>
      <x:c r="Y59" s="14" t="str">
        <x:v>Y</x:v>
      </x:c>
      <x:c r="Z59" s="14" t="str">
        <x:v>N</x:v>
      </x:c>
      <x:c r="AA59" s="14" t="n">
        <x:f>MAX(20,U59-IF(V59="Y",12,0)-IF(W59="Y",8,0)-IF(X59="Y",8,0)-IF(Y59="Y",8,0)-IF(Z59="Y",6,0))</x:f>
        <x:v>60</x:v>
      </x:c>
      <x:c r="AB59" s="14" t="n">
        <x:v>89</x:v>
      </x:c>
      <x:c r="AC59" s="14" t="n">
        <x:f>ROUND(AB59*0.45+AA59*0.30+IF(I59="A",100,IF(I59="B",85,IF(I59="C",55,IF(I59="CONFLICT",25,35))))*0.20+IF(E59="대한민국",100,25)*0.05,0)</x:f>
        <x:v>83</x:v>
      </x:c>
      <x:c r="AD59" s="14" t="str">
        <x:v>메일발송 가능</x:v>
      </x:c>
      <x:c r="AE59" s="14" t="str">
        <x:v>온라인 리셀러 허용 / 공급가·MOQ / 위탁·직배송 / 설치권역 / A/S 책임 / 제품사진·상세페이지 사용승인 / OEM·PB 가능 여부</x:v>
      </x:c>
      <x:c r="AF59" s="14" t="str">
        <x:v>https://www.daegun21.net/content/68</x:v>
      </x:c>
      <x:c r="AG59" s="14" t="str">
        <x:v>기존 2차자료 전화 043-883-5035는 폐기하고 현재 공식 본사 033-743-5035를 사용.</x:v>
      </x:c>
      <x:c r="AH59" s="14" t="str">
        <x:v>2026-08-13</x:v>
      </x:c>
    </x:row>
    <x:row r="60" ht="54" customHeight="1">
      <x:c r="A60" s="14" t="str">
        <x:v>EXP-094</x:v>
      </x:c>
      <x:c r="B60" s="14" t="str">
        <x:v>S10</x:v>
      </x:c>
      <x:c r="C60" s="14" t="str">
        <x:v>용우테크</x:v>
      </x:c>
      <x:c r="D60" s="14" t="str">
        <x:v>놀이·조경·야외운동시설</x:v>
      </x:c>
      <x:c r="E60" s="14" t="str">
        <x:v>대한민국</x:v>
      </x:c>
      <x:c r="F60" s="14" t="str">
        <x:v>놀이·조경시설 제조·시공</x:v>
      </x:c>
      <x:c r="G60" s="14" t="str">
        <x:v>031-759-9906</x:v>
      </x:c>
      <x:c r="H60" s="14" t="str">
        <x:v>yw-77@naver.com</x:v>
      </x:c>
      <x:c r="I60" s="14" t="str">
        <x:v>A</x:v>
      </x:c>
      <x:c r="J60" s="14" t="str">
        <x:v>공식 홈페이지</x:v>
      </x:c>
      <x:c r="K60" s="14" t="str">
        <x:v>공식 회사소개/제품 페이지 반복 표기</x:v>
      </x:c>
      <x:c r="L60" s="14" t="str">
        <x:v>대표메일+전화</x:v>
      </x:c>
      <x:c r="M60" s="14" t="str">
        <x:v>미확인</x:v>
      </x:c>
      <x:c r="N60" s="14" t="str">
        <x:v>문의 필요</x:v>
      </x:c>
      <x:c r="O60" s="14" t="str">
        <x:v>문의 필요</x:v>
      </x:c>
      <x:c r="P60" s="14" t="str">
        <x:v>문의 필요</x:v>
      </x:c>
      <x:c r="Q60" s="14" t="str">
        <x:v>문의 필요</x:v>
      </x:c>
      <x:c r="R60" s="14" t="str">
        <x:v>문의 필요</x:v>
      </x:c>
      <x:c r="S60" s="14" t="str">
        <x:v>문의 필요</x:v>
      </x:c>
      <x:c r="T60" s="14" t="str">
        <x:v>사전승인 필요(공개 허용 문구 없음)</x:v>
      </x:c>
      <x:c r="U60" s="14" t="n">
        <x:v>74</x:v>
      </x:c>
      <x:c r="V60" s="14" t="str">
        <x:v>N</x:v>
      </x:c>
      <x:c r="W60" s="14" t="str">
        <x:v>N</x:v>
      </x:c>
      <x:c r="X60" s="14" t="str">
        <x:v>Y</x:v>
      </x:c>
      <x:c r="Y60" s="14" t="str">
        <x:v>Y</x:v>
      </x:c>
      <x:c r="Z60" s="14" t="str">
        <x:v>N</x:v>
      </x:c>
      <x:c r="AA60" s="14" t="n">
        <x:f>MAX(20,U60-IF(V60="Y",12,0)-IF(W60="Y",8,0)-IF(X60="Y",8,0)-IF(Y60="Y",8,0)-IF(Z60="Y",6,0))</x:f>
        <x:v>58</x:v>
      </x:c>
      <x:c r="AB60" s="14" t="n">
        <x:v>94</x:v>
      </x:c>
      <x:c r="AC60" s="14" t="n">
        <x:f>ROUND(AB60*0.45+AA60*0.30+IF(I60="A",100,IF(I60="B",85,IF(I60="C",55,IF(I60="CONFLICT",25,35))))*0.20+IF(E60="대한민국",100,25)*0.05,0)</x:f>
        <x:v>85</x:v>
      </x:c>
      <x:c r="AD60" s="14" t="str">
        <x:v>메일발송 가능</x:v>
      </x:c>
      <x:c r="AE60" s="14" t="str">
        <x:v>온라인 리셀러 허용 / 공급가·MOQ / 위탁·직배송 / 설치권역 / A/S 책임 / 제품사진·상세페이지 사용승인 / OEM·PB 가능 여부</x:v>
      </x:c>
      <x:c r="AF60" s="14" t="str">
        <x:v>https://www.kidssafe.co.kr/</x:v>
      </x:c>
      <x:c r="AG60" s="14" t="str"/>
      <x:c r="AH60" s="14" t="str">
        <x:v>2026-08-13</x:v>
      </x:c>
    </x:row>
    <x:row r="61" ht="54" customHeight="1">
      <x:c r="A61" s="14" t="str">
        <x:v>EXP-095</x:v>
      </x:c>
      <x:c r="B61" s="14" t="str">
        <x:v>S10</x:v>
      </x:c>
      <x:c r="C61" s="14" t="str">
        <x:v>이지데코</x:v>
      </x:c>
      <x:c r="D61" s="14" t="str">
        <x:v>놀이·퍼걸러·벤치·자전거보관</x:v>
      </x:c>
      <x:c r="E61" s="14" t="str">
        <x:v>대한민국</x:v>
      </x:c>
      <x:c r="F61" s="14" t="str">
        <x:v>놀이·퍼걸러·벤치 등 시설물 제조·시공</x:v>
      </x:c>
      <x:c r="G61" s="14" t="str">
        <x:v>031-944-9762</x:v>
      </x:c>
      <x:c r="H61" s="14" t="str">
        <x:v>k9449762@hanmail.net</x:v>
      </x:c>
      <x:c r="I61" s="14" t="str">
        <x:v>A</x:v>
      </x:c>
      <x:c r="J61" s="14" t="str">
        <x:v>공식 홈페이지</x:v>
      </x:c>
      <x:c r="K61" s="14" t="str">
        <x:v>공공 행사/자료에서 동일 메일 교차</x:v>
      </x:c>
      <x:c r="L61" s="14" t="str">
        <x:v>대표메일+전화</x:v>
      </x:c>
      <x:c r="M61" s="14" t="str">
        <x:v>미확인</x:v>
      </x:c>
      <x:c r="N61" s="14" t="str">
        <x:v>문의 필요</x:v>
      </x:c>
      <x:c r="O61" s="14" t="str">
        <x:v>문의 필요</x:v>
      </x:c>
      <x:c r="P61" s="14" t="str">
        <x:v>문의 필요</x:v>
      </x:c>
      <x:c r="Q61" s="14" t="str">
        <x:v>문의 필요</x:v>
      </x:c>
      <x:c r="R61" s="14" t="str">
        <x:v>문의 필요</x:v>
      </x:c>
      <x:c r="S61" s="14" t="str">
        <x:v>문의 필요</x:v>
      </x:c>
      <x:c r="T61" s="14" t="str">
        <x:v>사전승인 필요(공개 허용 문구 없음)</x:v>
      </x:c>
      <x:c r="U61" s="14" t="n">
        <x:v>78</x:v>
      </x:c>
      <x:c r="V61" s="14" t="str">
        <x:v>N</x:v>
      </x:c>
      <x:c r="W61" s="14" t="str">
        <x:v>N</x:v>
      </x:c>
      <x:c r="X61" s="14" t="str">
        <x:v>Y</x:v>
      </x:c>
      <x:c r="Y61" s="14" t="str">
        <x:v>Y</x:v>
      </x:c>
      <x:c r="Z61" s="14" t="str">
        <x:v>N</x:v>
      </x:c>
      <x:c r="AA61" s="14" t="n">
        <x:f>MAX(20,U61-IF(V61="Y",12,0)-IF(W61="Y",8,0)-IF(X61="Y",8,0)-IF(Y61="Y",8,0)-IF(Z61="Y",6,0))</x:f>
        <x:v>62</x:v>
      </x:c>
      <x:c r="AB61" s="14" t="n">
        <x:v>95</x:v>
      </x:c>
      <x:c r="AC61" s="14" t="n">
        <x:f>ROUND(AB61*0.45+AA61*0.30+IF(I61="A",100,IF(I61="B",85,IF(I61="C",55,IF(I61="CONFLICT",25,35))))*0.20+IF(E61="대한민국",100,25)*0.05,0)</x:f>
        <x:v>86</x:v>
      </x:c>
      <x:c r="AD61" s="14" t="str">
        <x:v>메일발송 가능</x:v>
      </x:c>
      <x:c r="AE61" s="14" t="str">
        <x:v>온라인 리셀러 허용 / 공급가·MOQ / 위탁·직배송 / 설치권역 / A/S 책임 / 제품사진·상세페이지 사용승인 / OEM·PB 가능 여부</x:v>
      </x:c>
      <x:c r="AF61" s="14" t="str">
        <x:v>https://www.ezpark.kr/sub01_4.html</x:v>
      </x:c>
      <x:c r="AG61" s="14" t="str"/>
      <x:c r="AH61" s="14" t="str">
        <x:v>2026-08-13</x:v>
      </x:c>
    </x:row>
    <x:row r="62" ht="54" customHeight="1">
      <x:c r="A62" s="14" t="str">
        <x:v>EXP-096</x:v>
      </x:c>
      <x:c r="B62" s="14" t="str">
        <x:v>S10</x:v>
      </x:c>
      <x:c r="C62" s="14" t="str">
        <x:v>(주)씨에스엘</x:v>
      </x:c>
      <x:c r="D62" s="14" t="str">
        <x:v>놀이시설·탄성포장</x:v>
      </x:c>
      <x:c r="E62" s="14" t="str">
        <x:v>대한민국</x:v>
      </x:c>
      <x:c r="F62" s="14" t="str">
        <x:v>놀이시설·탄성포장 시공</x:v>
      </x:c>
      <x:c r="G62" s="14" t="str">
        <x:v>043-215-8803</x:v>
      </x:c>
      <x:c r="H62" s="14" t="str">
        <x:v>road5852@naver.com</x:v>
      </x:c>
      <x:c r="I62" s="14" t="str">
        <x:v>A</x:v>
      </x:c>
      <x:c r="J62" s="14" t="str">
        <x:v>공식 문의/사업 페이지</x:v>
      </x:c>
      <x:c r="K62" s="14" t="str">
        <x:v>공식 시공/회사 페이지 반복 표기</x:v>
      </x:c>
      <x:c r="L62" s="14" t="str">
        <x:v>일반 업무메일</x:v>
      </x:c>
      <x:c r="M62" s="14" t="str">
        <x:v>미확인</x:v>
      </x:c>
      <x:c r="N62" s="14" t="str">
        <x:v>문의 필요</x:v>
      </x:c>
      <x:c r="O62" s="14" t="str">
        <x:v>문의 필요</x:v>
      </x:c>
      <x:c r="P62" s="14" t="str">
        <x:v>문의 필요</x:v>
      </x:c>
      <x:c r="Q62" s="14" t="str">
        <x:v>문의 필요</x:v>
      </x:c>
      <x:c r="R62" s="14" t="str">
        <x:v>문의 필요</x:v>
      </x:c>
      <x:c r="S62" s="14" t="str">
        <x:v>문의 필요</x:v>
      </x:c>
      <x:c r="T62" s="14" t="str">
        <x:v>사전승인 필요(공개 허용 문구 없음)</x:v>
      </x:c>
      <x:c r="U62" s="14" t="n">
        <x:v>78</x:v>
      </x:c>
      <x:c r="V62" s="14" t="str">
        <x:v>N</x:v>
      </x:c>
      <x:c r="W62" s="14" t="str">
        <x:v>N</x:v>
      </x:c>
      <x:c r="X62" s="14" t="str">
        <x:v>Y</x:v>
      </x:c>
      <x:c r="Y62" s="14" t="str">
        <x:v>Y</x:v>
      </x:c>
      <x:c r="Z62" s="14" t="str">
        <x:v>N</x:v>
      </x:c>
      <x:c r="AA62" s="14" t="n">
        <x:f>MAX(20,U62-IF(V62="Y",12,0)-IF(W62="Y",8,0)-IF(X62="Y",8,0)-IF(Y62="Y",8,0)-IF(Z62="Y",6,0))</x:f>
        <x:v>62</x:v>
      </x:c>
      <x:c r="AB62" s="14" t="n">
        <x:v>90</x:v>
      </x:c>
      <x:c r="AC62" s="14" t="n">
        <x:f>ROUND(AB62*0.45+AA62*0.30+IF(I62="A",100,IF(I62="B",85,IF(I62="C",55,IF(I62="CONFLICT",25,35))))*0.20+IF(E62="대한민국",100,25)*0.05,0)</x:f>
        <x:v>84</x:v>
      </x:c>
      <x:c r="AD62" s="14" t="str">
        <x:v>메일발송 가능</x:v>
      </x:c>
      <x:c r="AE62" s="14" t="str">
        <x:v>온라인 리셀러 허용 / 공급가·MOQ / 위탁·직배송 / 설치권역 / A/S 책임 / 제품사진·상세페이지 사용승인 / OEM·PB 가능 여부</x:v>
      </x:c>
      <x:c r="AF62" s="14" t="str">
        <x:v>https://cslgreen.com/Works6</x:v>
      </x:c>
      <x:c r="AG62" s="14" t="str">
        <x:v>대표자 이메일 sporix0121@naver.com도 공식 표기. 영업 일반문의는 road5852@naver.com 우선.</x:v>
      </x:c>
      <x:c r="AH62" s="14" t="str">
        <x:v>2026-08-13</x:v>
      </x:c>
    </x:row>
    <x:row r="63" ht="54" customHeight="1">
      <x:c r="A63" s="14" t="str">
        <x:v>EXP-098</x:v>
      </x:c>
      <x:c r="B63" s="14" t="str">
        <x:v>S10</x:v>
      </x:c>
      <x:c r="C63" s="14" t="str">
        <x:v>디아이디</x:v>
      </x:c>
      <x:c r="D63" s="14" t="str">
        <x:v>놀이·퍼걸러·벤치</x:v>
      </x:c>
      <x:c r="E63" s="14" t="str">
        <x:v>대한민국</x:v>
      </x:c>
      <x:c r="F63" s="14" t="str">
        <x:v>놀이·조경시설 설계·시공</x:v>
      </x:c>
      <x:c r="G63" s="14" t="str">
        <x:v>031-868-2108</x:v>
      </x:c>
      <x:c r="H63" s="14" t="str">
        <x:v>didlsd@naver.com</x:v>
      </x:c>
      <x:c r="I63" s="14" t="str">
        <x:v>A</x:v>
      </x:c>
      <x:c r="J63" s="14" t="str">
        <x:v>공식 홈페이지</x:v>
      </x:c>
      <x:c r="K63" s="14" t="str">
        <x:v>공식 FAQ/오시는길 페이지 동일 표기</x:v>
      </x:c>
      <x:c r="L63" s="14" t="str">
        <x:v>견적/제품 문의</x:v>
      </x:c>
      <x:c r="M63" s="14" t="str">
        <x:v>미확인</x:v>
      </x:c>
      <x:c r="N63" s="14" t="str">
        <x:v>문의 필요</x:v>
      </x:c>
      <x:c r="O63" s="14" t="str">
        <x:v>문의 필요</x:v>
      </x:c>
      <x:c r="P63" s="14" t="str">
        <x:v>문의 필요</x:v>
      </x:c>
      <x:c r="Q63" s="14" t="str">
        <x:v>문의 필요</x:v>
      </x:c>
      <x:c r="R63" s="14" t="str">
        <x:v>문의 필요</x:v>
      </x:c>
      <x:c r="S63" s="14" t="str">
        <x:v>문의 필요</x:v>
      </x:c>
      <x:c r="T63" s="14" t="str">
        <x:v>사전승인 필요(공개 허용 문구 없음)</x:v>
      </x:c>
      <x:c r="U63" s="14" t="n">
        <x:v>76</x:v>
      </x:c>
      <x:c r="V63" s="14" t="str">
        <x:v>Y</x:v>
      </x:c>
      <x:c r="W63" s="14" t="str">
        <x:v>N</x:v>
      </x:c>
      <x:c r="X63" s="14" t="str">
        <x:v>Y</x:v>
      </x:c>
      <x:c r="Y63" s="14" t="str">
        <x:v>Y</x:v>
      </x:c>
      <x:c r="Z63" s="14" t="str">
        <x:v>N</x:v>
      </x:c>
      <x:c r="AA63" s="14" t="n">
        <x:f>MAX(20,U63-IF(V63="Y",12,0)-IF(W63="Y",8,0)-IF(X63="Y",8,0)-IF(Y63="Y",8,0)-IF(Z63="Y",6,0))</x:f>
        <x:v>48</x:v>
      </x:c>
      <x:c r="AB63" s="14" t="n">
        <x:v>92</x:v>
      </x:c>
      <x:c r="AC63" s="14" t="n">
        <x:f>ROUND(AB63*0.45+AA63*0.30+IF(I63="A",100,IF(I63="B",85,IF(I63="C",55,IF(I63="CONFLICT",25,35))))*0.20+IF(E63="대한민국",100,25)*0.05,0)</x:f>
        <x:v>81</x:v>
      </x:c>
      <x:c r="AD63" s="14" t="str">
        <x:v>메일발송 가능</x:v>
      </x:c>
      <x:c r="AE63" s="14" t="str">
        <x:v>온라인 리셀러 허용 / 공급가·MOQ / 위탁·직배송 / 설치권역 / A/S 책임 / 제품사진·상세페이지 사용승인 / OEM·PB 가능 여부</x:v>
      </x:c>
      <x:c r="AF63" s="14" t="str">
        <x:v>https://www.didlsd.com/pages/history.php</x:v>
      </x:c>
      <x:c r="AG63" s="14" t="str"/>
      <x:c r="AH63" s="14" t="str">
        <x:v>2026-08-13</x:v>
      </x:c>
    </x:row>
    <x:row r="64" ht="54" customHeight="1">
      <x:c r="A64" s="14" t="str">
        <x:v>EXP-099</x:v>
      </x:c>
      <x:c r="B64" s="14" t="str">
        <x:v>S10</x:v>
      </x:c>
      <x:c r="C64" s="14" t="str">
        <x:v>YNC조경종합건설</x:v>
      </x:c>
      <x:c r="D64" s="14" t="str">
        <x:v>퍼걸러·놀이·조경시설</x:v>
      </x:c>
      <x:c r="E64" s="14" t="str">
        <x:v>대한민국</x:v>
      </x:c>
      <x:c r="F64" s="14" t="str">
        <x:v>조경·놀이·휴게시설 설계·시공</x:v>
      </x:c>
      <x:c r="G64" s="14" t="str">
        <x:v>031-674-6733</x:v>
      </x:c>
      <x:c r="H64" s="14" t="str">
        <x:v>ync6733@naver.com</x:v>
      </x:c>
      <x:c r="I64" s="14" t="str">
        <x:v>A</x:v>
      </x:c>
      <x:c r="J64" s="14" t="str">
        <x:v>공식 홈페이지</x:v>
      </x:c>
      <x:c r="K64" s="14" t="str">
        <x:v>공식 사업/시공사례 페이지 동일 표기</x:v>
      </x:c>
      <x:c r="L64" s="14" t="str">
        <x:v>대표메일+전화</x:v>
      </x:c>
      <x:c r="M64" s="14" t="str">
        <x:v>미확인</x:v>
      </x:c>
      <x:c r="N64" s="14" t="str">
        <x:v>문의 필요</x:v>
      </x:c>
      <x:c r="O64" s="14" t="str">
        <x:v>문의 필요</x:v>
      </x:c>
      <x:c r="P64" s="14" t="str">
        <x:v>문의 필요</x:v>
      </x:c>
      <x:c r="Q64" s="14" t="str">
        <x:v>문의 필요</x:v>
      </x:c>
      <x:c r="R64" s="14" t="str">
        <x:v>전원주택/민간조경 포함</x:v>
      </x:c>
      <x:c r="S64" s="14" t="str">
        <x:v>O(YNC Care/사후관리 표방)</x:v>
      </x:c>
      <x:c r="T64" s="14" t="str">
        <x:v>사전승인 필요(공개 허용 문구 없음)</x:v>
      </x:c>
      <x:c r="U64" s="14" t="n">
        <x:v>82</x:v>
      </x:c>
      <x:c r="V64" s="14" t="str">
        <x:v>N</x:v>
      </x:c>
      <x:c r="W64" s="14" t="str">
        <x:v>N</x:v>
      </x:c>
      <x:c r="X64" s="14" t="str">
        <x:v>Y</x:v>
      </x:c>
      <x:c r="Y64" s="14" t="str">
        <x:v>Y</x:v>
      </x:c>
      <x:c r="Z64" s="14" t="str">
        <x:v>Y</x:v>
      </x:c>
      <x:c r="AA64" s="14" t="n">
        <x:f>MAX(20,U64-IF(V64="Y",12,0)-IF(W64="Y",8,0)-IF(X64="Y",8,0)-IF(Y64="Y",8,0)-IF(Z64="Y",6,0))</x:f>
        <x:v>60</x:v>
      </x:c>
      <x:c r="AB64" s="14" t="n">
        <x:v>90</x:v>
      </x:c>
      <x:c r="AC64" s="14" t="n">
        <x:f>ROUND(AB64*0.45+AA64*0.30+IF(I64="A",100,IF(I64="B",85,IF(I64="C",55,IF(I64="CONFLICT",25,35))))*0.20+IF(E64="대한민국",100,25)*0.05,0)</x:f>
        <x:v>84</x:v>
      </x:c>
      <x:c r="AD64" s="14" t="str">
        <x:v>메일발송 가능</x:v>
      </x:c>
      <x:c r="AE64" s="14" t="str">
        <x:v>온라인 리셀러 허용 / 공급가·MOQ / 위탁·직배송 / 설치권역 / A/S 책임 / 제품사진·상세페이지 사용승인 / OEM·PB 가능 여부</x:v>
      </x:c>
      <x:c r="AF64" s="14" t="str">
        <x:v>https://xn--z69akfs61doydtio9bvzdxxc.com/business/</x:v>
      </x:c>
      <x:c r="AG64" s="14" t="str"/>
      <x:c r="AH64" s="14" t="str">
        <x:v>2026-08-13</x:v>
      </x:c>
    </x:row>
    <x:row r="65" ht="54" customHeight="1">
      <x:c r="A65" s="14" t="str">
        <x:v>EXP-100</x:v>
      </x:c>
      <x:c r="B65" s="14" t="str">
        <x:v>S10</x:v>
      </x:c>
      <x:c r="C65" s="14" t="str">
        <x:v>다은네이처</x:v>
      </x:c>
      <x:c r="D65" s="14" t="str">
        <x:v>차양·자전거보관·펜스·벤치·퍼걸러</x:v>
      </x:c>
      <x:c r="E65" s="14" t="str">
        <x:v>대한민국</x:v>
      </x:c>
      <x:c r="F65" s="14" t="str">
        <x:v>조경·금속 시설물 제조</x:v>
      </x:c>
      <x:c r="G65" s="14" t="str">
        <x:v>031-432-6305</x:v>
      </x:c>
      <x:c r="H65" s="14" t="str">
        <x:v>공개 이메일 미확인</x:v>
      </x:c>
      <x:c r="I65" s="14" t="str">
        <x:v>X</x:v>
      </x:c>
      <x:c r="J65" s="14" t="str"/>
      <x:c r="K65" s="14" t="str"/>
      <x:c r="L65" s="14" t="str">
        <x:v>공공기업정보 확인 전화</x:v>
      </x:c>
      <x:c r="M65" s="14" t="str">
        <x:v>미확인</x:v>
      </x:c>
      <x:c r="N65" s="14" t="str">
        <x:v>문의 필요</x:v>
      </x:c>
      <x:c r="O65" s="14" t="str">
        <x:v>문의 필요</x:v>
      </x:c>
      <x:c r="P65" s="14" t="str">
        <x:v>문의 필요</x:v>
      </x:c>
      <x:c r="Q65" s="14" t="str">
        <x:v>문의 필요</x:v>
      </x:c>
      <x:c r="R65" s="14" t="str">
        <x:v>문의 필요</x:v>
      </x:c>
      <x:c r="S65" s="14" t="str">
        <x:v>문의 필요</x:v>
      </x:c>
      <x:c r="T65" s="14" t="str">
        <x:v>사전승인 필요(공개 허용 문구 없음)</x:v>
      </x:c>
      <x:c r="U65" s="14" t="n">
        <x:v>86</x:v>
      </x:c>
      <x:c r="V65" s="14" t="str">
        <x:v>N</x:v>
      </x:c>
      <x:c r="W65" s="14" t="str">
        <x:v>N</x:v>
      </x:c>
      <x:c r="X65" s="14" t="str">
        <x:v>Y</x:v>
      </x:c>
      <x:c r="Y65" s="14" t="str">
        <x:v>N</x:v>
      </x:c>
      <x:c r="Z65" s="14" t="str">
        <x:v>N</x:v>
      </x:c>
      <x:c r="AA65" s="14" t="n">
        <x:f>MAX(20,U65-IF(V65="Y",12,0)-IF(W65="Y",8,0)-IF(X65="Y",8,0)-IF(Y65="Y",8,0)-IF(Z65="Y",6,0))</x:f>
        <x:v>78</x:v>
      </x:c>
      <x:c r="AB65" s="14" t="n">
        <x:v>94</x:v>
      </x:c>
      <x:c r="AC65" s="14" t="n">
        <x:f>ROUND(AB65*0.45+AA65*0.30+IF(I65="A",100,IF(I65="B",85,IF(I65="C",55,IF(I65="CONFLICT",25,35))))*0.20+IF(E65="대한민국",100,25)*0.05,0)</x:f>
        <x:v>78</x:v>
      </x:c>
      <x:c r="AD65" s="14" t="str">
        <x:v>전화 선행</x:v>
      </x:c>
      <x:c r="AE65" s="14" t="str">
        <x:v>온라인 리셀러 허용 / 공급가·MOQ / 위탁·직배송 / 설치권역 / A/S 책임 / 제품사진·상세페이지 사용승인 / OEM·PB 가능 여부</x:v>
      </x:c>
      <x:c r="AF65" s="14" t="str">
        <x:v>http://dnnature.com/</x:v>
      </x:c>
      <x:c r="AG65" s="14" t="str">
        <x:v>시흥시 B2B 공공 플랫폼에서 제조업체·전화·홈페이지 확인. 공개 이메일 미확인.</x:v>
      </x:c>
      <x:c r="AH65" s="14" t="str">
        <x:v>2026-08-13</x:v>
      </x:c>
    </x:row>
  </x:sheetData>
  <x:conditionalFormatting sqref="I2:I65">
    <x:cfRule type="expression" dxfId="18" priority="1">
      <x:formula>I2="A"</x:formula>
    </x:cfRule>
    <x:cfRule type="expression" dxfId="19" priority="2">
      <x:formula>I2="B"</x:formula>
    </x:cfRule>
    <x:cfRule type="expression" dxfId="20" priority="3">
      <x:formula>I2="C"</x:formula>
    </x:cfRule>
    <x:cfRule type="expression" dxfId="21" priority="4">
      <x:formula>I2="CONFLICT"</x:formula>
    </x:cfRule>
    <x:cfRule type="expression" dxfId="22" priority="5">
      <x:formula>I2="X"</x:formula>
    </x:cfRule>
  </x:conditionalFormatting>
  <x:conditionalFormatting sqref="AA2:AA65">
    <x:cfRule type="colorScale" priority="6">
      <x:colorScale>
        <x:cfvo type="min"/>
        <x:cfvo type="percentile" val="50"/>
        <x:cfvo type="max"/>
        <x:color rgb="FFDCFCE7"/>
        <x:color rgb="FFFEF3C7"/>
        <x:color rgb="FFFCA5A5"/>
      </x:colorScale>
    </x:cfRule>
  </x:conditionalFormatting>
  <x:conditionalFormatting sqref="AC2:AC65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{E49CED89-D8E9-720E-8A66-ABE6B015D3FE}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b1346c3b5814c8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E49CED89-D8E9-720E-8A66-ABE6B015D3FE}">
            <x14:dataBar gradient="1">
              <x14:cfvo type="min"/>
              <x14:cfvo type="max"/>
              <x14:fillColor rgb="FFA02B93"/>
            </x14:dataBar>
          </x14:cfRule>
          <xm:sqref>AC2:AC65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6" hidden="0" customWidth="1"/>
    <x:col min="4" max="4" width="28" hidden="0" customWidth="1"/>
    <x:col min="5" max="5" width="31" hidden="0" customWidth="1"/>
    <x:col min="6" max="6" width="13" hidden="0" customWidth="1"/>
    <x:col min="7" max="7" width="39" hidden="0" customWidth="1"/>
    <x:col min="8" max="8" width="39" hidden="0" customWidth="1"/>
    <x:col min="9" max="9" width="28" hidden="0" customWidth="1"/>
    <x:col min="10" max="10" width="25" hidden="0" customWidth="1"/>
    <x:col min="11" max="11" width="13" hidden="0" customWidth="1"/>
    <x:col min="12" max="12" width="45" hidden="0" customWidth="1"/>
    <x:col min="13" max="13" width="52" hidden="0" customWidth="1"/>
  </x:cols>
  <x:sheetData>
    <x:row r="1">
      <x:c r="A1" s="106" t="str">
        <x:v>ID</x:v>
      </x:c>
      <x:c r="B1" s="106" t="str">
        <x:v>소싱군</x:v>
      </x:c>
      <x:c r="C1" s="106" t="str">
        <x:v>업체명</x:v>
      </x:c>
      <x:c r="D1" s="106" t="str">
        <x:v>전화</x:v>
      </x:c>
      <x:c r="E1" s="106" t="str">
        <x:v>이메일</x:v>
      </x:c>
      <x:c r="F1" s="106" t="str">
        <x:v>검증등급</x:v>
      </x:c>
      <x:c r="G1" s="106" t="str">
        <x:v>근거1</x:v>
      </x:c>
      <x:c r="H1" s="106" t="str">
        <x:v>근거2</x:v>
      </x:c>
      <x:c r="I1" s="106" t="str">
        <x:v>접촉경로</x:v>
      </x:c>
      <x:c r="J1" s="106" t="str">
        <x:v>판정</x:v>
      </x:c>
      <x:c r="K1" s="106" t="str">
        <x:v>영업점수</x:v>
      </x:c>
      <x:c r="L1" s="106" t="str">
        <x:v>공식/근거 URL</x:v>
      </x:c>
      <x:c r="M1" s="106" t="str">
        <x:v>메모</x:v>
      </x:c>
    </x:row>
    <x:row r="2" ht="48" customHeight="1">
      <x:c r="A2" s="14" t="str">
        <x:v>EXP-005</x:v>
      </x:c>
      <x:c r="B2" s="14" t="str">
        <x:v>S01</x:v>
      </x:c>
      <x:c r="C2" s="14" t="str">
        <x:v>영신철망</x:v>
      </x:c>
      <x:c r="D2" s="14" t="str">
        <x:v>043-542-0317</x:v>
      </x:c>
      <x:c r="E2" s="14" t="str">
        <x:v>gulva7750@naver.com</x:v>
      </x:c>
      <x:c r="F2" s="14" t="str">
        <x:v>A</x:v>
      </x:c>
      <x:c r="G2" s="14" t="str">
        <x:v>공식 홈페이지</x:v>
      </x:c>
      <x:c r="H2" s="14" t="str">
        <x:v>공식 제품/연락 페이지 동일 표기</x:v>
      </x:c>
      <x:c r="I2" s="14" t="str">
        <x:v>대표메일+전화</x:v>
      </x:c>
      <x:c r="J2" s="14" t="str">
        <x:v>메일발송 가능</x:v>
      </x:c>
      <x:c r="K2" s="14" t="n">
        <x:v>86</x:v>
      </x:c>
      <x:c r="L2" s="14" t="str">
        <x:v>https://www.yeswire.co.kr/</x:v>
      </x:c>
      <x:c r="M2" s="14" t="str"/>
    </x:row>
    <x:row r="3" ht="48" customHeight="1">
      <x:c r="A3" s="14" t="str">
        <x:v>EXP-043</x:v>
      </x:c>
      <x:c r="B3" s="14" t="str">
        <x:v>S05</x:v>
      </x:c>
      <x:c r="C3" s="14" t="str">
        <x:v>넥스트루버</x:v>
      </x:c>
      <x:c r="D3" s="14" t="str">
        <x:v>031-444-7119 / 010-4157-8119</x:v>
      </x:c>
      <x:c r="E3" s="14" t="str">
        <x:v>nextdeco@next700.com</x:v>
      </x:c>
      <x:c r="F3" s="14" t="str">
        <x:v>A</x:v>
      </x:c>
      <x:c r="G3" s="14" t="str">
        <x:v>공식 홈페이지</x:v>
      </x:c>
      <x:c r="H3" s="14" t="str">
        <x:v>공식 제품/시공 페이지 반복 표기</x:v>
      </x:c>
      <x:c r="I3" s="14" t="str">
        <x:v>대표메일+전화</x:v>
      </x:c>
      <x:c r="J3" s="14" t="str">
        <x:v>메일발송 가능</x:v>
      </x:c>
      <x:c r="K3" s="14" t="n">
        <x:v>86</x:v>
      </x:c>
      <x:c r="L3" s="14" t="str">
        <x:v>https://nextlouver.com/파고라루바-시스템파고라-합성목재루바-시공사례/</x:v>
      </x:c>
      <x:c r="M3" s="14" t="str"/>
    </x:row>
    <x:row r="4" ht="48" customHeight="1">
      <x:c r="A4" s="14" t="str">
        <x:v>EXP-095</x:v>
      </x:c>
      <x:c r="B4" s="14" t="str">
        <x:v>S10</x:v>
      </x:c>
      <x:c r="C4" s="14" t="str">
        <x:v>이지데코</x:v>
      </x:c>
      <x:c r="D4" s="14" t="str">
        <x:v>031-944-9762</x:v>
      </x:c>
      <x:c r="E4" s="14" t="str">
        <x:v>k9449762@hanmail.net</x:v>
      </x:c>
      <x:c r="F4" s="14" t="str">
        <x:v>A</x:v>
      </x:c>
      <x:c r="G4" s="14" t="str">
        <x:v>공식 홈페이지</x:v>
      </x:c>
      <x:c r="H4" s="14" t="str">
        <x:v>공공 행사/자료에서 동일 메일 교차</x:v>
      </x:c>
      <x:c r="I4" s="14" t="str">
        <x:v>대표메일+전화</x:v>
      </x:c>
      <x:c r="J4" s="14" t="str">
        <x:v>메일발송 가능</x:v>
      </x:c>
      <x:c r="K4" s="14" t="n">
        <x:v>86</x:v>
      </x:c>
      <x:c r="L4" s="14" t="str">
        <x:v>https://www.ezpark.kr/sub01_4.html</x:v>
      </x:c>
      <x:c r="M4" s="14" t="str"/>
    </x:row>
    <x:row r="5" ht="48" customHeight="1">
      <x:c r="A5" s="14" t="str">
        <x:v>EXP-033</x:v>
      </x:c>
      <x:c r="B5" s="14" t="str">
        <x:v>S04</x:v>
      </x:c>
      <x:c r="C5" s="14" t="str">
        <x:v>셀링스시스템</x:v>
      </x:c>
      <x:c r="D5" s="14" t="str">
        <x:v>02-578-9805</x:v>
      </x:c>
      <x:c r="E5" s="14" t="str">
        <x:v>info@cellinx.co.kr</x:v>
      </x:c>
      <x:c r="F5" s="14" t="str">
        <x:v>A</x:v>
      </x:c>
      <x:c r="G5" s="14" t="str">
        <x:v>공식 홈페이지</x:v>
      </x:c>
      <x:c r="H5" s="14" t="str">
        <x:v>공식 A/S·RMA 페이지 동일 표기</x:v>
      </x:c>
      <x:c r="I5" s="14" t="str">
        <x:v>대표메일+RMA/A/S</x:v>
      </x:c>
      <x:c r="J5" s="14" t="str">
        <x:v>메일발송 가능</x:v>
      </x:c>
      <x:c r="K5" s="14" t="n">
        <x:v>85</x:v>
      </x:c>
      <x:c r="L5" s="14" t="str">
        <x:v>https://www.cellinx.co.kr/</x:v>
      </x:c>
      <x:c r="M5" s="14" t="str"/>
    </x:row>
    <x:row r="6" ht="48" customHeight="1">
      <x:c r="A6" s="14" t="str">
        <x:v>EXP-042</x:v>
      </x:c>
      <x:c r="B6" s="14" t="str">
        <x:v>S05</x:v>
      </x:c>
      <x:c r="C6" s="14" t="str">
        <x:v>썬베스트</x:v>
      </x:c>
      <x:c r="D6" s="14" t="str">
        <x:v>02-521-1170 / 010-6351-5113</x:v>
      </x:c>
      <x:c r="E6" s="14" t="str">
        <x:v>sunbest2013@naver.com</x:v>
      </x:c>
      <x:c r="F6" s="14" t="str">
        <x:v>A</x:v>
      </x:c>
      <x:c r="G6" s="14" t="str">
        <x:v>공식 홈페이지</x:v>
      </x:c>
      <x:c r="H6" s="14" t="str">
        <x:v>공식 시공/회사 페이지 반복 표기</x:v>
      </x:c>
      <x:c r="I6" s="14" t="str">
        <x:v>대표메일+전화</x:v>
      </x:c>
      <x:c r="J6" s="14" t="str">
        <x:v>메일발송 가능</x:v>
      </x:c>
      <x:c r="K6" s="14" t="n">
        <x:v>85</x:v>
      </x:c>
      <x:c r="L6" s="14" t="str">
        <x:v>https://sunbest.co.kr/bizdemo94552/home/portfolio/page0601.php</x:v>
      </x:c>
      <x:c r="M6" s="14" t="str"/>
    </x:row>
    <x:row r="7" ht="48" customHeight="1">
      <x:c r="A7" s="14" t="str">
        <x:v>EXP-094</x:v>
      </x:c>
      <x:c r="B7" s="14" t="str">
        <x:v>S10</x:v>
      </x:c>
      <x:c r="C7" s="14" t="str">
        <x:v>용우테크</x:v>
      </x:c>
      <x:c r="D7" s="14" t="str">
        <x:v>031-759-9906</x:v>
      </x:c>
      <x:c r="E7" s="14" t="str">
        <x:v>yw-77@naver.com</x:v>
      </x:c>
      <x:c r="F7" s="14" t="str">
        <x:v>A</x:v>
      </x:c>
      <x:c r="G7" s="14" t="str">
        <x:v>공식 홈페이지</x:v>
      </x:c>
      <x:c r="H7" s="14" t="str">
        <x:v>공식 회사소개/제품 페이지 반복 표기</x:v>
      </x:c>
      <x:c r="I7" s="14" t="str">
        <x:v>대표메일+전화</x:v>
      </x:c>
      <x:c r="J7" s="14" t="str">
        <x:v>메일발송 가능</x:v>
      </x:c>
      <x:c r="K7" s="14" t="n">
        <x:v>85</x:v>
      </x:c>
      <x:c r="L7" s="14" t="str">
        <x:v>https://www.kidssafe.co.kr/</x:v>
      </x:c>
      <x:c r="M7" s="14" t="str"/>
    </x:row>
    <x:row r="8" ht="48" customHeight="1">
      <x:c r="A8" s="14" t="str">
        <x:v>EXP-002</x:v>
      </x:c>
      <x:c r="B8" s="14" t="str">
        <x:v>S01</x:v>
      </x:c>
      <x:c r="C8" s="14" t="str">
        <x:v>동진에이디</x:v>
      </x:c>
      <x:c r="D8" s="14" t="str">
        <x:v>1588-4619</x:v>
      </x:c>
      <x:c r="E8" s="14" t="str">
        <x:v>dongjinad77@naver.com</x:v>
      </x:c>
      <x:c r="F8" s="14" t="str">
        <x:v>A</x:v>
      </x:c>
      <x:c r="G8" s="14" t="str">
        <x:v>공식 홈페이지 회사/연락처</x:v>
      </x:c>
      <x:c r="H8" s="14" t="str">
        <x:v>공식 제품/회사 페이지 반복 표기</x:v>
      </x:c>
      <x:c r="I8" s="14" t="str">
        <x:v>대표전화+대표메일</x:v>
      </x:c>
      <x:c r="J8" s="14" t="str">
        <x:v>메일발송 가능</x:v>
      </x:c>
      <x:c r="K8" s="14" t="n">
        <x:v>84</x:v>
      </x:c>
      <x:c r="L8" s="14" t="str">
        <x:v>https://www.xn--2q1bjxg18a9qbsye.com/</x:v>
      </x:c>
      <x:c r="M8" s="14" t="str"/>
    </x:row>
    <x:row r="9" ht="48" customHeight="1">
      <x:c r="A9" s="14" t="str">
        <x:v>EXP-082</x:v>
      </x:c>
      <x:c r="B9" s="14" t="str">
        <x:v>S09</x:v>
      </x:c>
      <x:c r="C9" s="14" t="str">
        <x:v>이노일렉트릭</x:v>
      </x:c>
      <x:c r="D9" s="14" t="str">
        <x:v>제품/기술 1533-2215 / A/S 070-8859-2253</x:v>
      </x:c>
      <x:c r="E9" s="14" t="str">
        <x:v>sales@swen.co.kr</x:v>
      </x:c>
      <x:c r="F9" s="14" t="str">
        <x:v>A</x:v>
      </x:c>
      <x:c r="G9" s="14" t="str">
        <x:v>공식 이노일렉트릭 제품/회사 페이지</x:v>
      </x:c>
      <x:c r="H9" s="14" t="str">
        <x:v>2026 대한민국 에너지대전 공식 참가정보 동일 표기</x:v>
      </x:c>
      <x:c r="I9" s="14" t="str">
        <x:v>Sales/제품기술</x:v>
      </x:c>
      <x:c r="J9" s="14" t="str">
        <x:v>메일발송 가능</x:v>
      </x:c>
      <x:c r="K9" s="14" t="n">
        <x:v>84</x:v>
      </x:c>
      <x:c r="L9" s="14" t="str">
        <x:v>https://www.solartodaymag.com/news/articleView.html?idxno=20176</x:v>
      </x:c>
      <x:c r="M9" s="14" t="str"/>
    </x:row>
    <x:row r="10" ht="48" customHeight="1">
      <x:c r="A10" s="14" t="str">
        <x:v>EXP-096</x:v>
      </x:c>
      <x:c r="B10" s="14" t="str">
        <x:v>S10</x:v>
      </x:c>
      <x:c r="C10" s="14" t="str">
        <x:v>(주)씨에스엘</x:v>
      </x:c>
      <x:c r="D10" s="14" t="str">
        <x:v>043-215-8803</x:v>
      </x:c>
      <x:c r="E10" s="14" t="str">
        <x:v>road5852@naver.com</x:v>
      </x:c>
      <x:c r="F10" s="14" t="str">
        <x:v>A</x:v>
      </x:c>
      <x:c r="G10" s="14" t="str">
        <x:v>공식 문의/사업 페이지</x:v>
      </x:c>
      <x:c r="H10" s="14" t="str">
        <x:v>공식 시공/회사 페이지 반복 표기</x:v>
      </x:c>
      <x:c r="I10" s="14" t="str">
        <x:v>일반 업무메일</x:v>
      </x:c>
      <x:c r="J10" s="14" t="str">
        <x:v>메일발송 가능</x:v>
      </x:c>
      <x:c r="K10" s="14" t="n">
        <x:v>84</x:v>
      </x:c>
      <x:c r="L10" s="14" t="str">
        <x:v>https://cslgreen.com/Works6</x:v>
      </x:c>
      <x:c r="M10" s="14" t="str">
        <x:v>대표자 이메일 sporix0121@naver.com도 공식 표기. 영업 일반문의는 road5852@naver.com 우선.</x:v>
      </x:c>
    </x:row>
    <x:row r="11" ht="48" customHeight="1">
      <x:c r="A11" s="14" t="str">
        <x:v>EXP-099</x:v>
      </x:c>
      <x:c r="B11" s="14" t="str">
        <x:v>S10</x:v>
      </x:c>
      <x:c r="C11" s="14" t="str">
        <x:v>YNC조경종합건설</x:v>
      </x:c>
      <x:c r="D11" s="14" t="str">
        <x:v>031-674-6733</x:v>
      </x:c>
      <x:c r="E11" s="14" t="str">
        <x:v>ync6733@naver.com</x:v>
      </x:c>
      <x:c r="F11" s="14" t="str">
        <x:v>A</x:v>
      </x:c>
      <x:c r="G11" s="14" t="str">
        <x:v>공식 홈페이지</x:v>
      </x:c>
      <x:c r="H11" s="14" t="str">
        <x:v>공식 사업/시공사례 페이지 동일 표기</x:v>
      </x:c>
      <x:c r="I11" s="14" t="str">
        <x:v>대표메일+전화</x:v>
      </x:c>
      <x:c r="J11" s="14" t="str">
        <x:v>메일발송 가능</x:v>
      </x:c>
      <x:c r="K11" s="14" t="n">
        <x:v>84</x:v>
      </x:c>
      <x:c r="L11" s="14" t="str">
        <x:v>https://xn--z69akfs61doydtio9bvzdxxc.com/business/</x:v>
      </x:c>
      <x:c r="M11" s="14" t="str"/>
    </x:row>
    <x:row r="12" ht="48" customHeight="1">
      <x:c r="A12" s="14" t="str">
        <x:v>EXP-007</x:v>
      </x:c>
      <x:c r="B12" s="14" t="str">
        <x:v>S01</x:v>
      </x:c>
      <x:c r="C12" s="14" t="str">
        <x:v>영성산업</x:v>
      </x:c>
      <x:c r="D12" s="14" t="str">
        <x:v>031-358-8304~5</x:v>
      </x:c>
      <x:c r="E12" s="14" t="str">
        <x:v>yswn6011@daum.net</x:v>
      </x:c>
      <x:c r="F12" s="14" t="str">
        <x:v>A</x:v>
      </x:c>
      <x:c r="G12" s="14" t="str">
        <x:v>공식 홈페이지</x:v>
      </x:c>
      <x:c r="H12" s="14" t="str">
        <x:v>공식 제품/문의 페이지 반복 표기</x:v>
      </x:c>
      <x:c r="I12" s="14" t="str">
        <x:v>대표메일+문의폼</x:v>
      </x:c>
      <x:c r="J12" s="14" t="str">
        <x:v>메일발송 가능</x:v>
      </x:c>
      <x:c r="K12" s="14" t="n">
        <x:v>83</x:v>
      </x:c>
      <x:c r="L12" s="14" t="str">
        <x:v>https://youngseong.co.kr/product06/</x:v>
      </x:c>
      <x:c r="M12" s="14" t="str"/>
    </x:row>
    <x:row r="13" ht="48" customHeight="1">
      <x:c r="A13" s="14" t="str">
        <x:v>EXP-025</x:v>
      </x:c>
      <x:c r="B13" s="14" t="str">
        <x:v>S03</x:v>
      </x:c>
      <x:c r="C13" s="14" t="str">
        <x:v>스위틸(Sweeteel)</x:v>
      </x:c>
      <x:c r="D13" s="14" t="str">
        <x:v>031-444-1196</x:v>
      </x:c>
      <x:c r="E13" s="14" t="str">
        <x:v>sweeteel@naver.com</x:v>
      </x:c>
      <x:c r="F13" s="14" t="str">
        <x:v>A</x:v>
      </x:c>
      <x:c r="G13" s="14" t="str">
        <x:v>공식 스토어</x:v>
      </x:c>
      <x:c r="H13" s="14" t="str">
        <x:v>공식 브랜드 페이지/검색면 반복 표기</x:v>
      </x:c>
      <x:c r="I13" s="14" t="str">
        <x:v>대표메일+전화</x:v>
      </x:c>
      <x:c r="J13" s="14" t="str">
        <x:v>메일발송 가능</x:v>
      </x:c>
      <x:c r="K13" s="14" t="n">
        <x:v>83</x:v>
      </x:c>
      <x:c r="L13" s="14" t="str">
        <x:v>https://sweeteel.com/</x:v>
      </x:c>
      <x:c r="M13" s="14" t="str">
        <x:v>공식 SNS에는 031-444-1195도 보여 전화번호 차이는 메일에 영향 없음.</x:v>
      </x:c>
    </x:row>
    <x:row r="14" ht="48" customHeight="1">
      <x:c r="A14" s="14" t="str">
        <x:v>EXP-044</x:v>
      </x:c>
      <x:c r="B14" s="14" t="str">
        <x:v>S05</x:v>
      </x:c>
      <x:c r="C14" s="14" t="str">
        <x:v>테라움 퍼골라</x:v>
      </x:c>
      <x:c r="D14" s="14" t="str">
        <x:v>02-2659-1772</x:v>
      </x:c>
      <x:c r="E14" s="14" t="str">
        <x:v>info@terraum.kr</x:v>
      </x:c>
      <x:c r="F14" s="14" t="str">
        <x:v>A</x:v>
      </x:c>
      <x:c r="G14" s="14" t="str">
        <x:v>공식 홈페이지</x:v>
      </x:c>
      <x:c r="H14" s="14" t="str">
        <x:v>공식 제품 페이지 동일 표기</x:v>
      </x:c>
      <x:c r="I14" s="14" t="str">
        <x:v>대표메일+상담</x:v>
      </x:c>
      <x:c r="J14" s="14" t="str">
        <x:v>메일발송 가능</x:v>
      </x:c>
      <x:c r="K14" s="14" t="n">
        <x:v>83</x:v>
      </x:c>
      <x:c r="L14" s="14" t="str">
        <x:v>https://terraum-pergola.kr/ares</x:v>
      </x:c>
      <x:c r="M14" s="14" t="str"/>
    </x:row>
    <x:row r="15" ht="48" customHeight="1">
      <x:c r="A15" s="14" t="str">
        <x:v>EXP-053</x:v>
      </x:c>
      <x:c r="B15" s="14" t="str">
        <x:v>S06</x:v>
      </x:c>
      <x:c r="C15" s="14" t="str">
        <x:v>극동무공</x:v>
      </x:c>
      <x:c r="D15" s="14" t="str">
        <x:v>02-754-0308</x:v>
      </x:c>
      <x:c r="E15" s="14" t="str">
        <x:v>spasauna@naver.com</x:v>
      </x:c>
      <x:c r="F15" s="14" t="str">
        <x:v>A</x:v>
      </x:c>
      <x:c r="G15" s="14" t="str">
        <x:v>공식 홈페이지</x:v>
      </x:c>
      <x:c r="H15" s="14" t="str">
        <x:v>공식 제품/회사 페이지 반복 표기</x:v>
      </x:c>
      <x:c r="I15" s="14" t="str">
        <x:v>대표메일+전화</x:v>
      </x:c>
      <x:c r="J15" s="14" t="str">
        <x:v>메일발송 가능</x:v>
      </x:c>
      <x:c r="K15" s="14" t="n">
        <x:v>83</x:v>
      </x:c>
      <x:c r="L15" s="14" t="str">
        <x:v>https://kdsauna.com/</x:v>
      </x:c>
      <x:c r="M15" s="14" t="str"/>
    </x:row>
    <x:row r="16" ht="48" customHeight="1">
      <x:c r="A16" s="14" t="str">
        <x:v>EXP-075</x:v>
      </x:c>
      <x:c r="B16" s="14" t="str">
        <x:v>S08</x:v>
      </x:c>
      <x:c r="C16" s="14" t="str">
        <x:v>성화제작소 / (주)성화</x:v>
      </x:c>
      <x:c r="D16" s="14" t="str">
        <x:v>032-670-7311~3 / 02-884-6270~1</x:v>
      </x:c>
      <x:c r="E16" s="14" t="str">
        <x:v>shinc@shinc.co.kr</x:v>
      </x:c>
      <x:c r="F16" s="14" t="str">
        <x:v>A</x:v>
      </x:c>
      <x:c r="G16" s="14" t="str">
        <x:v>공식 제품 카탈로그 PDF</x:v>
      </x:c>
      <x:c r="H16" s="14" t="str">
        <x:v>공식 A/S/회사 웹과 도메인 일치</x:v>
      </x:c>
      <x:c r="I16" s="14" t="str">
        <x:v>대표메일+A/S</x:v>
      </x:c>
      <x:c r="J16" s="14" t="str">
        <x:v>메일발송 가능</x:v>
      </x:c>
      <x:c r="K16" s="14" t="n">
        <x:v>83</x:v>
      </x:c>
      <x:c r="L16" s="14" t="str">
        <x:v>https://www.shinc.co.kr/</x:v>
      </x:c>
      <x:c r="M16" s="14" t="str"/>
    </x:row>
    <x:row r="17" ht="48" customHeight="1">
      <x:c r="A17" s="14" t="str">
        <x:v>EXP-091</x:v>
      </x:c>
      <x:c r="B17" s="14" t="str">
        <x:v>S10</x:v>
      </x:c>
      <x:c r="C17" s="14" t="str">
        <x:v>더플래이</x:v>
      </x:c>
      <x:c r="D17" s="14" t="str">
        <x:v>031-943-4916</x:v>
      </x:c>
      <x:c r="E17" s="14" t="str">
        <x:v>help@the-play.kr</x:v>
      </x:c>
      <x:c r="F17" s="14" t="str">
        <x:v>A</x:v>
      </x:c>
      <x:c r="G17" s="14" t="str">
        <x:v>공식 홈페이지</x:v>
      </x:c>
      <x:c r="H17" s="14" t="str">
        <x:v>공식 제품/시공사례 페이지 다수 동일 표기</x:v>
      </x:c>
      <x:c r="I17" s="14" t="str">
        <x:v>대표메일+전화</x:v>
      </x:c>
      <x:c r="J17" s="14" t="str">
        <x:v>메일발송 가능</x:v>
      </x:c>
      <x:c r="K17" s="14" t="n">
        <x:v>83</x:v>
      </x:c>
      <x:c r="L17" s="14" t="str">
        <x:v>https://www.the-play.kr/</x:v>
      </x:c>
      <x:c r="M17" s="14" t="str"/>
    </x:row>
    <x:row r="18" ht="48" customHeight="1">
      <x:c r="A18" s="14" t="str">
        <x:v>EXP-093</x:v>
      </x:c>
      <x:c r="B18" s="14" t="str">
        <x:v>S10</x:v>
      </x:c>
      <x:c r="C18" s="14" t="str">
        <x:v>대건씨앤엘</x:v>
      </x:c>
      <x:c r="D18" s="14" t="str">
        <x:v>033-743-5035</x:v>
      </x:c>
      <x:c r="E18" s="14" t="str">
        <x:v>daegun21@daegun21.net</x:v>
      </x:c>
      <x:c r="F18" s="14" t="str">
        <x:v>A</x:v>
      </x:c>
      <x:c r="G18" s="14" t="str">
        <x:v>공식 홈페이지</x:v>
      </x:c>
      <x:c r="H18" s="14" t="str">
        <x:v>공식 회사/공장/인증/규격서 페이지 반복 표기</x:v>
      </x:c>
      <x:c r="I18" s="14" t="str">
        <x:v>제품문의/사업문의</x:v>
      </x:c>
      <x:c r="J18" s="14" t="str">
        <x:v>메일발송 가능</x:v>
      </x:c>
      <x:c r="K18" s="14" t="n">
        <x:v>83</x:v>
      </x:c>
      <x:c r="L18" s="14" t="str">
        <x:v>https://www.daegun21.net/content/68</x:v>
      </x:c>
      <x:c r="M18" s="14" t="str">
        <x:v>기존 2차자료 전화 043-883-5035는 폐기하고 현재 공식 본사 033-743-5035를 사용.</x:v>
      </x:c>
    </x:row>
    <x:row r="19" ht="48" customHeight="1">
      <x:c r="A19" s="14" t="str">
        <x:v>EXP-055</x:v>
      </x:c>
      <x:c r="B19" s="14" t="str">
        <x:v>S06</x:v>
      </x:c>
      <x:c r="C19" s="14" t="str">
        <x:v>네오워터</x:v>
      </x:c>
      <x:c r="D19" s="14" t="str">
        <x:v>031-767-7764</x:v>
      </x:c>
      <x:c r="E19" s="14" t="str">
        <x:v>contact@neowater.co.kr</x:v>
      </x:c>
      <x:c r="F19" s="14" t="str">
        <x:v>A</x:v>
      </x:c>
      <x:c r="G19" s="14" t="str">
        <x:v>공식 홈페이지</x:v>
      </x:c>
      <x:c r="H19" s="14" t="str">
        <x:v>공식 수처리/연락 페이지 반복 표기</x:v>
      </x:c>
      <x:c r="I19" s="14" t="str">
        <x:v>대표메일+문의</x:v>
      </x:c>
      <x:c r="J19" s="14" t="str">
        <x:v>메일발송 가능</x:v>
      </x:c>
      <x:c r="K19" s="14" t="n">
        <x:v>82</x:v>
      </x:c>
      <x:c r="L19" s="14" t="str">
        <x:v>https://www.neowater.co.kr/27</x:v>
      </x:c>
      <x:c r="M19" s="14" t="str"/>
    </x:row>
    <x:row r="20" ht="48" customHeight="1">
      <x:c r="A20" s="14" t="str">
        <x:v>EXP-086</x:v>
      </x:c>
      <x:c r="B20" s="14" t="str">
        <x:v>S09</x:v>
      </x:c>
      <x:c r="C20" s="14" t="str">
        <x:v>벨츠에너지 / 헵시바</x:v>
      </x:c>
      <x:c r="D20" s="14" t="str">
        <x:v>공식 사이트 전화 확인 필요</x:v>
      </x:c>
      <x:c r="E20" s="14" t="str">
        <x:v>sales@windrex.com</x:v>
      </x:c>
      <x:c r="F20" s="14" t="str">
        <x:v>A</x:v>
      </x:c>
      <x:c r="G20" s="14" t="str">
        <x:v>공식 벨츠에너지/헵시바 사이트</x:v>
      </x:c>
      <x:c r="H20" s="14" t="str">
        <x:v>공식 태양광/사업 페이지 반복 표기</x:v>
      </x:c>
      <x:c r="I20" s="14" t="str">
        <x:v>Sales</x:v>
      </x:c>
      <x:c r="J20" s="14" t="str">
        <x:v>메일발송 가능</x:v>
      </x:c>
      <x:c r="K20" s="14" t="n">
        <x:v>82</x:v>
      </x:c>
      <x:c r="L20" s="14" t="str">
        <x:v>https://www.windrex.co.kr/sub1_2.php</x:v>
      </x:c>
      <x:c r="M20" s="14" t="str"/>
    </x:row>
    <x:row r="21" ht="48" customHeight="1">
      <x:c r="A21" s="14" t="str">
        <x:v>EXP-040</x:v>
      </x:c>
      <x:c r="B21" s="14" t="str">
        <x:v>S04</x:v>
      </x:c>
      <x:c r="C21" s="14" t="str">
        <x:v>스마텍전자</x:v>
      </x:c>
      <x:c r="D21" s="14" t="str">
        <x:v>+86 13728752243</x:v>
      </x:c>
      <x:c r="E21" s="14" t="str">
        <x:v>info@smatek.com</x:v>
      </x:c>
      <x:c r="F21" s="14" t="str">
        <x:v>A</x:v>
      </x:c>
      <x:c r="G21" s="14" t="str">
        <x:v>공식 회사페이지</x:v>
      </x:c>
      <x:c r="H21" s="14" t="str">
        <x:v>공식 제품/PDF 반복 표기</x:v>
      </x:c>
      <x:c r="I21" s="14" t="str">
        <x:v>OEM/ODM 문의</x:v>
      </x:c>
      <x:c r="J21" s="14" t="str">
        <x:v>해외후보-국내 풀 분리</x:v>
      </x:c>
      <x:c r="K21" s="14" t="n">
        <x:v>81</x:v>
      </x:c>
      <x:c r="L21" s="14" t="str">
        <x:v>https://smatek.com/ko/oem-odm-services/</x:v>
      </x:c>
      <x:c r="M21" s="14" t="str">
        <x:v>한국 중소기업이 아니라 중국 본사 OEM/ODM 업체. 국내 공급망/인증/수입주체 확인 전 국내 파트너로 계산하지 않음.</x:v>
      </x:c>
    </x:row>
    <x:row r="22" ht="48" customHeight="1">
      <x:c r="A22" s="14" t="str">
        <x:v>EXP-051</x:v>
      </x:c>
      <x:c r="B22" s="14" t="str">
        <x:v>S06</x:v>
      </x:c>
      <x:c r="C22" s="14" t="str">
        <x:v>스토라지박스</x:v>
      </x:c>
      <x:c r="D22" s="14" t="str">
        <x:v>031-461-3766</x:v>
      </x:c>
      <x:c r="E22" s="14" t="str">
        <x:v>storagebox_house@naver.com</x:v>
      </x:c>
      <x:c r="F22" s="14" t="str">
        <x:v>A</x:v>
      </x:c>
      <x:c r="G22" s="14" t="str">
        <x:v>공식 홈페이지</x:v>
      </x:c>
      <x:c r="H22" s="14" t="str">
        <x:v>공식 회사/프로젝트 페이지 반복 표기</x:v>
      </x:c>
      <x:c r="I22" s="14" t="str">
        <x:v>대표메일+상담</x:v>
      </x:c>
      <x:c r="J22" s="14" t="str">
        <x:v>메일발송 가능</x:v>
      </x:c>
      <x:c r="K22" s="14" t="n">
        <x:v>81</x:v>
      </x:c>
      <x:c r="L22" s="14" t="str">
        <x:v>https://storagebox.kr/</x:v>
      </x:c>
      <x:c r="M22" s="14" t="str"/>
    </x:row>
    <x:row r="23" ht="48" customHeight="1">
      <x:c r="A23" s="14" t="str">
        <x:v>EXP-057</x:v>
      </x:c>
      <x:c r="B23" s="14" t="str">
        <x:v>S06</x:v>
      </x:c>
      <x:c r="C23" s="14" t="str">
        <x:v>지오풀</x:v>
      </x:c>
      <x:c r="D23" s="14" t="str">
        <x:v>1899-8051 / 043-644-8002</x:v>
      </x:c>
      <x:c r="E23" s="14" t="str">
        <x:v>ZIO@ZIOPOOL.COM</x:v>
      </x:c>
      <x:c r="F23" s="14" t="str">
        <x:v>A</x:v>
      </x:c>
      <x:c r="G23" s="14" t="str">
        <x:v>공식 홈페이지</x:v>
      </x:c>
      <x:c r="H23" s="14" t="str">
        <x:v>공식 회사/스토어 페이지 동일 표기</x:v>
      </x:c>
      <x:c r="I23" s="14" t="str">
        <x:v>대표메일+전화</x:v>
      </x:c>
      <x:c r="J23" s="14" t="str">
        <x:v>메일발송 가능</x:v>
      </x:c>
      <x:c r="K23" s="14" t="n">
        <x:v>81</x:v>
      </x:c>
      <x:c r="L23" s="14" t="str">
        <x:v>https://ziopool.cafe24.com/</x:v>
      </x:c>
      <x:c r="M23" s="14" t="str"/>
    </x:row>
    <x:row r="24" ht="48" customHeight="1">
      <x:c r="A24" s="14" t="str">
        <x:v>EXP-066</x:v>
      </x:c>
      <x:c r="B24" s="14" t="str">
        <x:v>S07</x:v>
      </x:c>
      <x:c r="C24" s="14" t="str">
        <x:v>계림조경자재</x:v>
      </x:c>
      <x:c r="D24" s="14" t="str">
        <x:v>1899-9226 / 010-9979-9226</x:v>
      </x:c>
      <x:c r="E24" s="14" t="str">
        <x:v>k7919226@hanmail.net</x:v>
      </x:c>
      <x:c r="F24" s="14" t="str">
        <x:v>A</x:v>
      </x:c>
      <x:c r="G24" s="14" t="str">
        <x:v>공식 홈페이지</x:v>
      </x:c>
      <x:c r="H24" s="14" t="str">
        <x:v>공식 회원/견적 관련 페이지 반복 표기</x:v>
      </x:c>
      <x:c r="I24" s="14" t="str">
        <x:v>견적/대표메일</x:v>
      </x:c>
      <x:c r="J24" s="14" t="str">
        <x:v>메일발송 가능</x:v>
      </x:c>
      <x:c r="K24" s="14" t="n">
        <x:v>81</x:v>
      </x:c>
      <x:c r="L24" s="14" t="str">
        <x:v>https://ke-lim.com/bbs/content.php?co_id=company&amp;device=pc</x:v>
      </x:c>
      <x:c r="M24" s="14" t="str"/>
    </x:row>
    <x:row r="25" ht="48" customHeight="1">
      <x:c r="A25" s="14" t="str">
        <x:v>EXP-098</x:v>
      </x:c>
      <x:c r="B25" s="14" t="str">
        <x:v>S10</x:v>
      </x:c>
      <x:c r="C25" s="14" t="str">
        <x:v>디아이디</x:v>
      </x:c>
      <x:c r="D25" s="14" t="str">
        <x:v>031-868-2108</x:v>
      </x:c>
      <x:c r="E25" s="14" t="str">
        <x:v>didlsd@naver.com</x:v>
      </x:c>
      <x:c r="F25" s="14" t="str">
        <x:v>A</x:v>
      </x:c>
      <x:c r="G25" s="14" t="str">
        <x:v>공식 홈페이지</x:v>
      </x:c>
      <x:c r="H25" s="14" t="str">
        <x:v>공식 FAQ/오시는길 페이지 동일 표기</x:v>
      </x:c>
      <x:c r="I25" s="14" t="str">
        <x:v>견적/제품 문의</x:v>
      </x:c>
      <x:c r="J25" s="14" t="str">
        <x:v>메일발송 가능</x:v>
      </x:c>
      <x:c r="K25" s="14" t="n">
        <x:v>81</x:v>
      </x:c>
      <x:c r="L25" s="14" t="str">
        <x:v>https://www.didlsd.com/pages/history.php</x:v>
      </x:c>
      <x:c r="M25" s="14" t="str"/>
    </x:row>
    <x:row r="26" ht="48" customHeight="1">
      <x:c r="A26" s="14" t="str">
        <x:v>EXP-011</x:v>
      </x:c>
      <x:c r="B26" s="14" t="str">
        <x:v>S02</x:v>
      </x:c>
      <x:c r="C26" s="14" t="str">
        <x:v>캐노텍</x:v>
      </x:c>
      <x:c r="D26" s="14" t="str">
        <x:v>070-4117-4869</x:v>
      </x:c>
      <x:c r="E26" s="14" t="str">
        <x:v>canotec@naver.com</x:v>
      </x:c>
      <x:c r="F26" s="14" t="str">
        <x:v>A</x:v>
      </x:c>
      <x:c r="G26" s="14" t="str">
        <x:v>공식 홈페이지</x:v>
      </x:c>
      <x:c r="H26" s="14" t="str">
        <x:v>공식 회사/스토어 페이지 동일 표기</x:v>
      </x:c>
      <x:c r="I26" s="14" t="str">
        <x:v>대표메일+전화</x:v>
      </x:c>
      <x:c r="J26" s="14" t="str">
        <x:v>메일발송 가능</x:v>
      </x:c>
      <x:c r="K26" s="14" t="n">
        <x:v>80</x:v>
      </x:c>
      <x:c r="L26" s="14" t="str">
        <x:v>https://canotec.co.kr/</x:v>
      </x:c>
      <x:c r="M26" s="14" t="str"/>
    </x:row>
    <x:row r="27" ht="48" customHeight="1">
      <x:c r="A27" s="14" t="str">
        <x:v>EXP-052</x:v>
      </x:c>
      <x:c r="B27" s="14" t="str">
        <x:v>S06</x:v>
      </x:c>
      <x:c r="C27" s="14" t="str">
        <x:v>신화아쿠아</x:v>
      </x:c>
      <x:c r="D27" s="14" t="str">
        <x:v>02-444-1474</x:v>
      </x:c>
      <x:c r="E27" s="14" t="str">
        <x:v>aqua@swaqua.com</x:v>
      </x:c>
      <x:c r="F27" s="14" t="str">
        <x:v>A</x:v>
      </x:c>
      <x:c r="G27" s="14" t="str">
        <x:v>공식 홈페이지</x:v>
      </x:c>
      <x:c r="H27" s="14" t="str">
        <x:v>공식 회사/연락 페이지 동일 표기</x:v>
      </x:c>
      <x:c r="I27" s="14" t="str">
        <x:v>견적/영업 문의</x:v>
      </x:c>
      <x:c r="J27" s="14" t="str">
        <x:v>메일발송 가능</x:v>
      </x:c>
      <x:c r="K27" s="14" t="n">
        <x:v>80</x:v>
      </x:c>
      <x:c r="L27" s="14" t="str">
        <x:v>https://www.swaqua.com/kr/company/summary.php</x:v>
      </x:c>
      <x:c r="M27" s="14" t="str"/>
    </x:row>
    <x:row r="28" ht="48" customHeight="1">
      <x:c r="A28" s="14" t="str">
        <x:v>EXP-014</x:v>
      </x:c>
      <x:c r="B28" s="14" t="str">
        <x:v>S02</x:v>
      </x:c>
      <x:c r="C28" s="14" t="str">
        <x:v>에너고</x:v>
      </x:c>
      <x:c r="D28" s="14" t="str">
        <x:v>010-6816-8660 / 1522-1390</x:v>
      </x:c>
      <x:c r="E28" s="14" t="str">
        <x:v>tiger@energo.kr</x:v>
      </x:c>
      <x:c r="F28" s="14" t="str">
        <x:v>A</x:v>
      </x:c>
      <x:c r="G28" s="14" t="str">
        <x:v>공식 충전기/연락 페이지</x:v>
      </x:c>
      <x:c r="H28" s="14" t="str">
        <x:v>공식 설치 페이지 동일 표기</x:v>
      </x:c>
      <x:c r="I28" s="14" t="str">
        <x:v>대표메일+전화</x:v>
      </x:c>
      <x:c r="J28" s="14" t="str">
        <x:v>메일발송 가능</x:v>
      </x:c>
      <x:c r="K28" s="14" t="n">
        <x:v>79</x:v>
      </x:c>
      <x:c r="L28" s="14" t="str">
        <x:v>https://energo.kr/DCFastCharger</x:v>
      </x:c>
      <x:c r="M28" s="14" t="str">
        <x:v>공식 회사페이지에 별도 alias tiger@energo.by-works.net도 존재. 현재 대표 접점은 tiger@energo.kr로 사용.</x:v>
      </x:c>
    </x:row>
    <x:row r="29" ht="48" customHeight="1">
      <x:c r="A29" s="14" t="str">
        <x:v>EXP-032</x:v>
      </x:c>
      <x:c r="B29" s="14" t="str">
        <x:v>S04</x:v>
      </x:c>
      <x:c r="C29" s="14" t="str">
        <x:v>원우이엔지</x:v>
      </x:c>
      <x:c r="D29" s="14" t="str">
        <x:v>02-3665-3200</x:v>
      </x:c>
      <x:c r="E29" s="14" t="str">
        <x:v>sales@wonwoo.com</x:v>
      </x:c>
      <x:c r="F29" s="14" t="str">
        <x:v>A</x:v>
      </x:c>
      <x:c r="G29" s="14" t="str">
        <x:v>공식 홈페이지</x:v>
      </x:c>
      <x:c r="H29" s="14" t="str">
        <x:v>서울시 High Seoul 공공기업목록 동일 표기</x:v>
      </x:c>
      <x:c r="I29" s="14" t="str">
        <x:v>Sales</x:v>
      </x:c>
      <x:c r="J29" s="14" t="str">
        <x:v>메일발송 가능</x:v>
      </x:c>
      <x:c r="K29" s="14" t="n">
        <x:v>79</x:v>
      </x:c>
      <x:c r="L29" s="14" t="str">
        <x:v>https://www.wonwoo.com/</x:v>
      </x:c>
      <x:c r="M29" s="14" t="str"/>
    </x:row>
    <x:row r="30" ht="48" customHeight="1">
      <x:c r="A30" s="14" t="str">
        <x:v>EXP-054</x:v>
      </x:c>
      <x:c r="B30" s="14" t="str">
        <x:v>S06</x:v>
      </x:c>
      <x:c r="C30" s="14" t="str">
        <x:v>SPA International</x:v>
      </x:c>
      <x:c r="D30" s="14" t="str">
        <x:v>031-558-0358</x:v>
      </x:c>
      <x:c r="E30" s="14" t="str">
        <x:v>jtjang12@naver.com</x:v>
      </x:c>
      <x:c r="F30" s="14" t="str">
        <x:v>A</x:v>
      </x:c>
      <x:c r="G30" s="14" t="str">
        <x:v>공식 회사 페이지</x:v>
      </x:c>
      <x:c r="H30" s="14" t="str">
        <x:v>공식 홈/연락 페이지 동일 표기</x:v>
      </x:c>
      <x:c r="I30" s="14" t="str">
        <x:v>대표메일+전화</x:v>
      </x:c>
      <x:c r="J30" s="14" t="str">
        <x:v>메일발송 가능</x:v>
      </x:c>
      <x:c r="K30" s="14" t="n">
        <x:v>79</x:v>
      </x:c>
      <x:c r="L30" s="14" t="str">
        <x:v>https://sspa.co.kr/corporation-info/</x:v>
      </x:c>
      <x:c r="M30" s="14" t="str"/>
    </x:row>
    <x:row r="31" ht="48" customHeight="1">
      <x:c r="A31" s="14" t="str">
        <x:v>EXP-061</x:v>
      </x:c>
      <x:c r="B31" s="14" t="str">
        <x:v>S07</x:v>
      </x:c>
      <x:c r="C31" s="14" t="str">
        <x:v>주목씨지알</x:v>
      </x:c>
      <x:c r="D31" s="14" t="str">
        <x:v>1644-3663</x:v>
      </x:c>
      <x:c r="E31" s="14" t="str">
        <x:v>jmcgr@naver.com</x:v>
      </x:c>
      <x:c r="F31" s="14" t="str">
        <x:v>A</x:v>
      </x:c>
      <x:c r="G31" s="14" t="str">
        <x:v>공식 홈페이지</x:v>
      </x:c>
      <x:c r="H31" s="14" t="str">
        <x:v>공식 기사/제품 페이지 반복 표기</x:v>
      </x:c>
      <x:c r="I31" s="14" t="str">
        <x:v>대표메일+전화</x:v>
      </x:c>
      <x:c r="J31" s="14" t="str">
        <x:v>메일발송 가능</x:v>
      </x:c>
      <x:c r="K31" s="14" t="n">
        <x:v>79</x:v>
      </x:c>
      <x:c r="L31" s="14" t="str">
        <x:v>https://jmcgr.co.kr/84</x:v>
      </x:c>
      <x:c r="M31" s="14" t="str"/>
    </x:row>
    <x:row r="32" ht="48" customHeight="1">
      <x:c r="A32" s="14" t="str">
        <x:v>EXP-092</x:v>
      </x:c>
      <x:c r="B32" s="14" t="str">
        <x:v>S10</x:v>
      </x:c>
      <x:c r="C32" s="14" t="str">
        <x:v>한국공원체육산업</x:v>
      </x:c>
      <x:c r="D32" s="14" t="str">
        <x:v>032-322-8272</x:v>
      </x:c>
      <x:c r="E32" s="14" t="str">
        <x:v>krpark8272@naver.com</x:v>
      </x:c>
      <x:c r="F32" s="14" t="str">
        <x:v>A</x:v>
      </x:c>
      <x:c r="G32" s="14" t="str">
        <x:v>공식 홈페이지</x:v>
      </x:c>
      <x:c r="H32" s="14" t="str">
        <x:v>공식 고객센터/회사/시공사례 반복 표기</x:v>
      </x:c>
      <x:c r="I32" s="14" t="str">
        <x:v>견적요청/설계자료요청</x:v>
      </x:c>
      <x:c r="J32" s="14" t="str">
        <x:v>메일발송 가능</x:v>
      </x:c>
      <x:c r="K32" s="14" t="n">
        <x:v>79</x:v>
      </x:c>
      <x:c r="L32" s="14" t="str">
        <x:v>https://www.krpark.co.kr/</x:v>
      </x:c>
      <x:c r="M32" s="14" t="str"/>
    </x:row>
    <x:row r="33" ht="48" customHeight="1">
      <x:c r="A33" s="14" t="str">
        <x:v>EXP-046</x:v>
      </x:c>
      <x:c r="B33" s="14" t="str">
        <x:v>S05</x:v>
      </x:c>
      <x:c r="C33" s="14" t="str">
        <x:v>경동산업 / 예스팀바</x:v>
      </x:c>
      <x:c r="D33" s="14" t="str">
        <x:v>1660-3755</x:v>
      </x:c>
      <x:c r="E33" s="14" t="str">
        <x:v>kdpvc@hanmail.net</x:v>
      </x:c>
      <x:c r="F33" s="14" t="str">
        <x:v>A</x:v>
      </x:c>
      <x:c r="G33" s="14" t="str">
        <x:v>공식 홈페이지</x:v>
      </x:c>
      <x:c r="H33" s="14" t="str">
        <x:v>공식 SNS 동일 표기</x:v>
      </x:c>
      <x:c r="I33" s="14" t="str">
        <x:v>대표메일+전화</x:v>
      </x:c>
      <x:c r="J33" s="14" t="str">
        <x:v>메일발송 가능</x:v>
      </x:c>
      <x:c r="K33" s="14" t="n">
        <x:v>78</x:v>
      </x:c>
      <x:c r="L33" s="14" t="str">
        <x:v>https://yestimber.com/</x:v>
      </x:c>
      <x:c r="M33" s="14" t="str"/>
    </x:row>
    <x:row r="34" ht="48" customHeight="1">
      <x:c r="A34" s="14" t="str">
        <x:v>EXP-020</x:v>
      </x:c>
      <x:c r="B34" s="14" t="str">
        <x:v>S02</x:v>
      </x:c>
      <x:c r="C34" s="14" t="str">
        <x:v>제이엔코(JENCO)</x:v>
      </x:c>
      <x:c r="D34" s="14" t="str">
        <x:v>1577-1264 / 055-337-1651</x:v>
      </x:c>
      <x:c r="E34" s="14" t="str">
        <x:v>jgm@jenco.co.kr</x:v>
      </x:c>
      <x:c r="F34" s="14" t="str">
        <x:v>A</x:v>
      </x:c>
      <x:c r="G34" s="14" t="str">
        <x:v>공식 연락처 페이지</x:v>
      </x:c>
      <x:c r="H34" s="14" t="str">
        <x:v>공식 회사/연혁 페이지 동일 표기</x:v>
      </x:c>
      <x:c r="I34" s="14" t="str">
        <x:v>견적/자료 대표메일</x:v>
      </x:c>
      <x:c r="J34" s="14" t="str">
        <x:v>메일발송 가능</x:v>
      </x:c>
      <x:c r="K34" s="14" t="n">
        <x:v>77</x:v>
      </x:c>
      <x:c r="L34" s="14" t="str">
        <x:v>https://jenco.co.kr/parking</x:v>
      </x:c>
      <x:c r="M34" s="14" t="str">
        <x:v>공식/전시자료에 m@jenco.co.kr, recsmp@jenco.co.kr 등 부서별 메일도 존재. 일반 견적은 jgm@jenco.co.kr 우선.</x:v>
      </x:c>
    </x:row>
    <x:row r="35" ht="48" customHeight="1">
      <x:c r="A35" s="14" t="str">
        <x:v>EXP-026</x:v>
      </x:c>
      <x:c r="B35" s="14" t="str">
        <x:v>S03</x:v>
      </x:c>
      <x:c r="C35" s="14" t="str">
        <x:v>오토코리아(OTTO KOREA)</x:v>
      </x:c>
      <x:c r="D35" s="14" t="str">
        <x:v>031-989-4466</x:v>
      </x:c>
      <x:c r="E35" s="14" t="str">
        <x:v>sales@ottokorea.com</x:v>
      </x:c>
      <x:c r="F35" s="14" t="str">
        <x:v>A</x:v>
      </x:c>
      <x:c r="G35" s="14" t="str">
        <x:v>공식 홈페이지</x:v>
      </x:c>
      <x:c r="H35" s="14" t="str">
        <x:v>공식 사업/제품 페이지 반복 표기</x:v>
      </x:c>
      <x:c r="I35" s="14" t="str">
        <x:v>영업메일</x:v>
      </x:c>
      <x:c r="J35" s="14" t="str">
        <x:v>메일발송 가능</x:v>
      </x:c>
      <x:c r="K35" s="14" t="n">
        <x:v>77</x:v>
      </x:c>
      <x:c r="L35" s="14" t="str">
        <x:v>https://ottokorea.com/our_business</x:v>
      </x:c>
      <x:c r="M35" s="14" t="str">
        <x:v>동명 패션브랜드가 존재하므로 반드시 ottokorea.com 환경사업 업체 기준.</x:v>
      </x:c>
    </x:row>
    <x:row r="36" ht="48" customHeight="1">
      <x:c r="A36" s="14" t="str">
        <x:v>EXP-041</x:v>
      </x:c>
      <x:c r="B36" s="14" t="str">
        <x:v>S05</x:v>
      </x:c>
      <x:c r="C36" s="14" t="str">
        <x:v>오스카프로덕트</x:v>
      </x:c>
      <x:c r="D36" s="14" t="str">
        <x:v>1800-5945</x:v>
      </x:c>
      <x:c r="E36" s="14" t="str">
        <x:v>office@oska.co.kr</x:v>
      </x:c>
      <x:c r="F36" s="14" t="str">
        <x:v>A</x:v>
      </x:c>
      <x:c r="G36" s="14" t="str">
        <x:v>공식 회사/글로벌 연락처</x:v>
      </x:c>
      <x:c r="H36" s="14" t="str">
        <x:v>공식 뉴스레터/연락 페이지 동일 표기</x:v>
      </x:c>
      <x:c r="I36" s="14" t="str">
        <x:v>대표메일+Partnership</x:v>
      </x:c>
      <x:c r="J36" s="14" t="str">
        <x:v>메일발송 가능</x:v>
      </x:c>
      <x:c r="K36" s="14" t="n">
        <x:v>77</x:v>
      </x:c>
      <x:c r="L36" s="14" t="str">
        <x:v>https://oska.co.kr/</x:v>
      </x:c>
      <x:c r="M36" s="14" t="str">
        <x:v>과거 oskaproduct@daum.net도 보이나 현재 office@oska.co.kr 우선.</x:v>
      </x:c>
    </x:row>
    <x:row r="37" ht="48" customHeight="1">
      <x:c r="A37" s="14" t="str">
        <x:v>EXP-045</x:v>
      </x:c>
      <x:c r="B37" s="14" t="str">
        <x:v>S05</x:v>
      </x:c>
      <x:c r="C37" s="14" t="str">
        <x:v>우드24</x:v>
      </x:c>
      <x:c r="D37" s="14" t="str">
        <x:v>1644-6472 / 010-3136-6472</x:v>
      </x:c>
      <x:c r="E37" s="14" t="str">
        <x:v>wood-24@naver.com</x:v>
      </x:c>
      <x:c r="F37" s="14" t="str">
        <x:v>A</x:v>
      </x:c>
      <x:c r="G37" s="14" t="str">
        <x:v>공식 홈페이지</x:v>
      </x:c>
      <x:c r="H37" s="14" t="str">
        <x:v>공식 SNS 동일 업체/연락망 확인</x:v>
      </x:c>
      <x:c r="I37" s="14" t="str">
        <x:v>대표메일+전화</x:v>
      </x:c>
      <x:c r="J37" s="14" t="str">
        <x:v>메일발송 가능</x:v>
      </x:c>
      <x:c r="K37" s="14" t="n">
        <x:v>76</x:v>
      </x:c>
      <x:c r="L37" s="14" t="str">
        <x:v>https://wood24.kr/case</x:v>
      </x:c>
      <x:c r="M37" s="14" t="str"/>
    </x:row>
    <x:row r="38" ht="48" customHeight="1">
      <x:c r="A38" s="14" t="str">
        <x:v>EXP-063</x:v>
      </x:c>
      <x:c r="B38" s="14" t="str">
        <x:v>S07</x:v>
      </x:c>
      <x:c r="C38" s="14" t="str">
        <x:v>가든라이프</x:v>
      </x:c>
      <x:c r="D38" s="14" t="str">
        <x:v>02-579-5083 / 010-5212-3846</x:v>
      </x:c>
      <x:c r="E38" s="14" t="str">
        <x:v>wangco@wangco.co.kr</x:v>
      </x:c>
      <x:c r="F38" s="14" t="str">
        <x:v>A</x:v>
      </x:c>
      <x:c r="G38" s="14" t="str">
        <x:v>공식 가든라이프/원예자재왕농사 사이트</x:v>
      </x:c>
      <x:c r="H38" s="14" t="str">
        <x:v>공식 상품/이용안내 페이지 반복 표기</x:v>
      </x:c>
      <x:c r="I38" s="14" t="str">
        <x:v>B2B/대량구매 문의</x:v>
      </x:c>
      <x:c r="J38" s="14" t="str">
        <x:v>메일발송 가능</x:v>
      </x:c>
      <x:c r="K38" s="14" t="n">
        <x:v>76</x:v>
      </x:c>
      <x:c r="L38" s="14" t="str">
        <x:v>https://www.gardenlife.kr/service/company.php</x:v>
      </x:c>
      <x:c r="M38" s="14" t="str"/>
    </x:row>
    <x:row r="39" ht="48" customHeight="1">
      <x:c r="A39" s="14" t="str">
        <x:v>EXP-013</x:v>
      </x:c>
      <x:c r="B39" s="14" t="str">
        <x:v>S02</x:v>
      </x:c>
      <x:c r="C39" s="14" t="str">
        <x:v>한국EV충전서비스센터</x:v>
      </x:c>
      <x:c r="D39" s="14" t="str">
        <x:v>1600-2213</x:v>
      </x:c>
      <x:c r="E39" s="14" t="str">
        <x:v>jslee@evsvc.co.kr</x:v>
      </x:c>
      <x:c r="F39" s="14" t="str">
        <x:v>A</x:v>
      </x:c>
      <x:c r="G39" s="14" t="str">
        <x:v>공식 홈페이지</x:v>
      </x:c>
      <x:c r="H39" s="14" t="str">
        <x:v>공식 FAQ/서비스 페이지 동일 표기</x:v>
      </x:c>
      <x:c r="I39" s="14" t="str">
        <x:v>대표메일+고객센터</x:v>
      </x:c>
      <x:c r="J39" s="14" t="str">
        <x:v>메일발송 가능</x:v>
      </x:c>
      <x:c r="K39" s="14" t="n">
        <x:v>74</x:v>
      </x:c>
      <x:c r="L39" s="14" t="str">
        <x:v>https://evsvc.co.kr/</x:v>
      </x:c>
      <x:c r="M39" s="14" t="str"/>
    </x:row>
    <x:row r="40" ht="48" customHeight="1">
      <x:c r="A40" s="14" t="str">
        <x:v>EXP-065</x:v>
      </x:c>
      <x:c r="B40" s="14" t="str">
        <x:v>S07</x:v>
      </x:c>
      <x:c r="C40" s="14" t="str">
        <x:v>미성종합자재</x:v>
      </x:c>
      <x:c r="D40" s="14" t="str">
        <x:v>1566-5406</x:v>
      </x:c>
      <x:c r="E40" s="14" t="str">
        <x:v>emija@hanmail.net</x:v>
      </x:c>
      <x:c r="F40" s="14" t="str">
        <x:v>A</x:v>
      </x:c>
      <x:c r="G40" s="14" t="str">
        <x:v>공식 홈페이지</x:v>
      </x:c>
      <x:c r="H40" s="14" t="str">
        <x:v>공식 회사/이용안내 페이지 동일 표기</x:v>
      </x:c>
      <x:c r="I40" s="14" t="str">
        <x:v>고객센터+대표메일</x:v>
      </x:c>
      <x:c r="J40" s="14" t="str">
        <x:v>메일발송 가능</x:v>
      </x:c>
      <x:c r="K40" s="14" t="n">
        <x:v>74</x:v>
      </x:c>
      <x:c r="L40" s="14" t="str">
        <x:v>https://emija.com/</x:v>
      </x:c>
      <x:c r="M40" s="14" t="str"/>
    </x:row>
    <x:row r="41" ht="48" customHeight="1">
      <x:c r="A41" s="14" t="str">
        <x:v>EXP-049</x:v>
      </x:c>
      <x:c r="B41" s="14" t="str">
        <x:v>S05</x:v>
      </x:c>
      <x:c r="C41" s="14" t="str">
        <x:v>이우드</x:v>
      </x:c>
      <x:c r="D41" s="14" t="str">
        <x:v>031-8039-5500</x:v>
      </x:c>
      <x:c r="E41" s="14" t="str">
        <x:v>ewood@navion.co.kr</x:v>
      </x:c>
      <x:c r="F41" s="14" t="str">
        <x:v>A</x:v>
      </x:c>
      <x:c r="G41" s="14" t="str">
        <x:v>공식 이우드 스토어</x:v>
      </x:c>
      <x:c r="H41" s="14" t="str">
        <x:v>공식 스토어 복수 페이지 반복 표기</x:v>
      </x:c>
      <x:c r="I41" s="14" t="str">
        <x:v>이우드 고객/영업</x:v>
      </x:c>
      <x:c r="J41" s="14" t="str">
        <x:v>메일발송 가능</x:v>
      </x:c>
      <x:c r="K41" s="14" t="n">
        <x:v>72</x:v>
      </x:c>
      <x:c r="L41" s="14" t="str">
        <x:v>https://ewoodmall.co.kr/</x:v>
      </x:c>
      <x:c r="M41" s="14" t="str"/>
    </x:row>
    <x:row r="42" ht="48" customHeight="1">
      <x:c r="A42" s="14" t="str">
        <x:v>EXP-034</x:v>
      </x:c>
      <x:c r="B42" s="14" t="str">
        <x:v>S04</x:v>
      </x:c>
      <x:c r="C42" s="14" t="str">
        <x:v>에이앤티코리아(A&amp;T KOREA)</x:v>
      </x:c>
      <x:c r="D42" s="14" t="str">
        <x:v>032-270-6070 / 070-8252-5900</x:v>
      </x:c>
      <x:c r="E42" s="14" t="str">
        <x:v>info@antkr.com</x:v>
      </x:c>
      <x:c r="F42" s="14" t="str">
        <x:v>B</x:v>
      </x:c>
      <x:c r="G42" s="14" t="str">
        <x:v>공식 홈페이지</x:v>
      </x:c>
      <x:c r="H42" s="14" t="str"/>
      <x:c r="I42" s="14" t="str">
        <x:v>대표메일+영업상담</x:v>
      </x:c>
      <x:c r="J42" s="14" t="str">
        <x:v>메일발송 가능</x:v>
      </x:c>
      <x:c r="K42" s="14" t="n">
        <x:v>82</x:v>
      </x:c>
      <x:c r="L42" s="14" t="str">
        <x:v>https://www.antkr.com/</x:v>
      </x:c>
      <x:c r="M42" s="14" t="str">
        <x:v>초기 제조사 분류를 수정: 공개 기업자료상 Distributor(Wholesaler) 성격.</x:v>
      </x:c>
    </x:row>
    <x:row r="43" ht="48" customHeight="1">
      <x:c r="A43" s="14" t="str">
        <x:v>EXP-038</x:v>
      </x:c>
      <x:c r="B43" s="14" t="str">
        <x:v>S04</x:v>
      </x:c>
      <x:c r="C43" s="14" t="str">
        <x:v>SG전자통신</x:v>
      </x:c>
      <x:c r="D43" s="14" t="str">
        <x:v>1577-7818</x:v>
      </x:c>
      <x:c r="E43" s="14" t="str">
        <x:v>sgelect77@daum.net</x:v>
      </x:c>
      <x:c r="F43" s="14" t="str">
        <x:v>B</x:v>
      </x:c>
      <x:c r="G43" s="14" t="str">
        <x:v>공식 홈페이지</x:v>
      </x:c>
      <x:c r="H43" s="14" t="str"/>
      <x:c r="I43" s="14" t="str">
        <x:v>대표메일+전화</x:v>
      </x:c>
      <x:c r="J43" s="14" t="str">
        <x:v>메일발송 가능</x:v>
      </x:c>
      <x:c r="K43" s="14" t="n">
        <x:v>82</x:v>
      </x:c>
      <x:c r="L43" s="14" t="str">
        <x:v>https://sgelect.com/?page_id=965</x:v>
      </x:c>
      <x:c r="M43" s="14" t="str"/>
    </x:row>
    <x:row r="44" ht="48" customHeight="1">
      <x:c r="A44" s="14" t="str">
        <x:v>EXP-012</x:v>
      </x:c>
      <x:c r="B44" s="14" t="str">
        <x:v>S02</x:v>
      </x:c>
      <x:c r="C44" s="14" t="str">
        <x:v>우진부스텍</x:v>
      </x:c>
      <x:c r="D44" s="14" t="str">
        <x:v>070-4117-4869</x:v>
      </x:c>
      <x:c r="E44" s="14" t="str">
        <x:v>wjbstec@naver.com</x:v>
      </x:c>
      <x:c r="F44" s="14" t="str">
        <x:v>B</x:v>
      </x:c>
      <x:c r="G44" s="14" t="str">
        <x:v>공식 브랜드 웹/콘텐츠</x:v>
      </x:c>
      <x:c r="H44" s="14" t="str"/>
      <x:c r="I44" s="14" t="str">
        <x:v>대표메일+전화</x:v>
      </x:c>
      <x:c r="J44" s="14" t="str">
        <x:v>메일발송 가능</x:v>
      </x:c>
      <x:c r="K44" s="14" t="n">
        <x:v>81</x:v>
      </x:c>
      <x:c r="L44" s="14" t="str">
        <x:v>https://wjbstec.tistory.com/1196</x:v>
      </x:c>
      <x:c r="M44" s="14" t="str"/>
    </x:row>
    <x:row r="45" ht="48" customHeight="1">
      <x:c r="A45" s="14" t="str">
        <x:v>EXP-067</x:v>
      </x:c>
      <x:c r="B45" s="14" t="str">
        <x:v>S07</x:v>
      </x:c>
      <x:c r="C45" s="14" t="str">
        <x:v>큐빅스(Qubics)</x:v>
      </x:c>
      <x:c r="D45" s="14" t="str">
        <x:v>031-949-9255 / 070-8845-7778</x:v>
      </x:c>
      <x:c r="E45" s="14" t="str">
        <x:v>info@qubics.kr</x:v>
      </x:c>
      <x:c r="F45" s="14" t="str">
        <x:v>B</x:v>
      </x:c>
      <x:c r="G45" s="14" t="str">
        <x:v>공식 Contact 페이지</x:v>
      </x:c>
      <x:c r="H45" s="14" t="str"/>
      <x:c r="I45" s="14" t="str">
        <x:v>대표메일+Contact</x:v>
      </x:c>
      <x:c r="J45" s="14" t="str">
        <x:v>메일발송 가능</x:v>
      </x:c>
      <x:c r="K45" s="14" t="n">
        <x:v>80</x:v>
      </x:c>
      <x:c r="L45" s="14" t="str">
        <x:v>https://www.qubics.kr/index.php/menu-iotsolution/auto-watering/</x:v>
      </x:c>
      <x:c r="M45" s="14" t="str"/>
    </x:row>
    <x:row r="46" ht="48" customHeight="1">
      <x:c r="A46" s="14" t="str">
        <x:v>EXP-003</x:v>
      </x:c>
      <x:c r="B46" s="14" t="str">
        <x:v>S01</x:v>
      </x:c>
      <x:c r="C46" s="14" t="str">
        <x:v>동일자동도어</x:v>
      </x:c>
      <x:c r="D46" s="14" t="str">
        <x:v>02-2138-2128 / 공장 02-6221-6561</x:v>
      </x:c>
      <x:c r="E46" s="14" t="str">
        <x:v>dongikjae@naver.com</x:v>
      </x:c>
      <x:c r="F46" s="14" t="str">
        <x:v>B</x:v>
      </x:c>
      <x:c r="G46" s="14" t="str">
        <x:v>공식 홈페이지</x:v>
      </x:c>
      <x:c r="H46" s="14" t="str"/>
      <x:c r="I46" s="14" t="str">
        <x:v>대표메일+전화</x:v>
      </x:c>
      <x:c r="J46" s="14" t="str">
        <x:v>메일발송 가능</x:v>
      </x:c>
      <x:c r="K46" s="14" t="n">
        <x:v>79</x:v>
      </x:c>
      <x:c r="L46" s="14" t="str">
        <x:v>https://www.dongildoor.co.kr/about-us</x:v>
      </x:c>
      <x:c r="M46" s="14" t="str"/>
    </x:row>
    <x:row r="47" ht="48" customHeight="1">
      <x:c r="A47" s="14" t="str">
        <x:v>EXP-048</x:v>
      </x:c>
      <x:c r="B47" s="14" t="str">
        <x:v>S05</x:v>
      </x:c>
      <x:c r="C47" s="14" t="str">
        <x:v>메이플우드</x:v>
      </x:c>
      <x:c r="D47" s="14" t="str">
        <x:v>031-8047-5001 / 010-4338-8250</x:v>
      </x:c>
      <x:c r="E47" s="14" t="str">
        <x:v>maplewood24@nate.com</x:v>
      </x:c>
      <x:c r="F47" s="14" t="str">
        <x:v>B</x:v>
      </x:c>
      <x:c r="G47" s="14" t="str">
        <x:v>공식 홈페이지</x:v>
      </x:c>
      <x:c r="H47" s="14" t="str"/>
      <x:c r="I47" s="14" t="str">
        <x:v>대표메일+전화</x:v>
      </x:c>
      <x:c r="J47" s="14" t="str">
        <x:v>메일발송 가능</x:v>
      </x:c>
      <x:c r="K47" s="14" t="n">
        <x:v>79</x:v>
      </x:c>
      <x:c r="L47" s="14" t="str">
        <x:v>https://maplewood.co.kr/</x:v>
      </x:c>
      <x:c r="M47" s="14" t="str"/>
    </x:row>
    <x:row r="48" ht="48" customHeight="1">
      <x:c r="A48" s="14" t="str">
        <x:v>EXP-056</x:v>
      </x:c>
      <x:c r="B48" s="14" t="str">
        <x:v>S06</x:v>
      </x:c>
      <x:c r="C48" s="14" t="str">
        <x:v>범우티엔씨</x:v>
      </x:c>
      <x:c r="D48" s="14" t="str">
        <x:v>031-812-7000</x:v>
      </x:c>
      <x:c r="E48" s="14" t="str">
        <x:v>pyc7000@nate.com</x:v>
      </x:c>
      <x:c r="F48" s="14" t="str">
        <x:v>B</x:v>
      </x:c>
      <x:c r="G48" s="14" t="str">
        <x:v>공식 홈페이지</x:v>
      </x:c>
      <x:c r="H48" s="14" t="str"/>
      <x:c r="I48" s="14" t="str">
        <x:v>대표메일+전화</x:v>
      </x:c>
      <x:c r="J48" s="14" t="str">
        <x:v>메일발송 가능</x:v>
      </x:c>
      <x:c r="K48" s="14" t="n">
        <x:v>79</x:v>
      </x:c>
      <x:c r="L48" s="14" t="str">
        <x:v>https://www.ebumwoo.co.kr/</x:v>
      </x:c>
      <x:c r="M48" s="14" t="str"/>
    </x:row>
    <x:row r="49" ht="48" customHeight="1">
      <x:c r="A49" s="14" t="str">
        <x:v>EXP-072</x:v>
      </x:c>
      <x:c r="B49" s="14" t="str">
        <x:v>S08</x:v>
      </x:c>
      <x:c r="C49" s="14" t="str">
        <x:v>스팀지니</x:v>
      </x:c>
      <x:c r="D49" s="14" t="str">
        <x:v>1588-2719</x:v>
      </x:c>
      <x:c r="E49" s="14" t="str">
        <x:v>master@steamgenie.co.kr</x:v>
      </x:c>
      <x:c r="F49" s="14" t="str">
        <x:v>B</x:v>
      </x:c>
      <x:c r="G49" s="14" t="str">
        <x:v>공식 파트너/문의 페이지</x:v>
      </x:c>
      <x:c r="H49" s="14" t="str"/>
      <x:c r="I49" s="14" t="str">
        <x:v>영업팀</x:v>
      </x:c>
      <x:c r="J49" s="14" t="str">
        <x:v>메일발송 가능</x:v>
      </x:c>
      <x:c r="K49" s="14" t="n">
        <x:v>79</x:v>
      </x:c>
      <x:c r="L49" s="14" t="str">
        <x:v>https://steamgenie.co.kr/</x:v>
      </x:c>
      <x:c r="M49" s="14" t="str"/>
    </x:row>
    <x:row r="50" ht="48" customHeight="1">
      <x:c r="A50" s="14" t="str">
        <x:v>EXP-047</x:v>
      </x:c>
      <x:c r="B50" s="14" t="str">
        <x:v>S05</x:v>
      </x:c>
      <x:c r="C50" s="14" t="str">
        <x:v>오스토(OSTO)</x:v>
      </x:c>
      <x:c r="D50" s="14" t="str">
        <x:v>031-8027-6723</x:v>
      </x:c>
      <x:c r="E50" s="14" t="str">
        <x:v>info@osto.co.kr</x:v>
      </x:c>
      <x:c r="F50" s="14" t="str">
        <x:v>B</x:v>
      </x:c>
      <x:c r="G50" s="14" t="str">
        <x:v>공식 개인정보/회사 페이지</x:v>
      </x:c>
      <x:c r="H50" s="14" t="str"/>
      <x:c r="I50" s="14" t="str">
        <x:v>온라인사업부 / 담당자 권병호</x:v>
      </x:c>
      <x:c r="J50" s="14" t="str">
        <x:v>메일발송 가능</x:v>
      </x:c>
      <x:c r="K50" s="14" t="n">
        <x:v>72</x:v>
      </x:c>
      <x:c r="L50" s="14" t="str">
        <x:v>https://osto.co.kr/outdoor/</x:v>
      </x:c>
      <x:c r="M50" s="14" t="str"/>
    </x:row>
    <x:row r="51" ht="48" customHeight="1">
      <x:c r="A51" s="14" t="str">
        <x:v>EXP-071</x:v>
      </x:c>
      <x:c r="B51" s="14" t="str">
        <x:v>S08</x:v>
      </x:c>
      <x:c r="C51" s="14" t="str">
        <x:v>에스제이이(주) / 성진옵티마</x:v>
      </x:c>
      <x:c r="D51" s="14" t="str">
        <x:v>1577-9170 / 051-521-3305</x:v>
      </x:c>
      <x:c r="E51" s="14" t="str">
        <x:v>info@sjecorp.com</x:v>
      </x:c>
      <x:c r="F51" s="14" t="str">
        <x:v>B</x:v>
      </x:c>
      <x:c r="G51" s="14" t="str">
        <x:v>공식 문의 페이지</x:v>
      </x:c>
      <x:c r="H51" s="14" t="str"/>
      <x:c r="I51" s="14" t="str">
        <x:v>구매/렌탈/기술/견적 + A/S 접수</x:v>
      </x:c>
      <x:c r="J51" s="14" t="str">
        <x:v>메일발송 가능</x:v>
      </x:c>
      <x:c r="K51" s="14" t="n">
        <x:v>72</x:v>
      </x:c>
      <x:c r="L51" s="14" t="str">
        <x:v>https://www.sjecorp.co.kr/</x:v>
      </x:c>
      <x:c r="M51" s="14" t="str">
        <x:v>v3의 051-521-3200보다 현재 공식 문의페이지 연락처를 우선.</x:v>
      </x:c>
    </x:row>
    <x:row r="52" ht="48" customHeight="1">
      <x:c r="A52" s="14" t="str">
        <x:v>EXP-004</x:v>
      </x:c>
      <x:c r="B52" s="14" t="str">
        <x:v>S01</x:v>
      </x:c>
      <x:c r="C52" s="14" t="str">
        <x:v>남영휀스</x:v>
      </x:c>
      <x:c r="D52" s="14" t="str">
        <x:v>053-253-5001~3 / 053-857-4654</x:v>
      </x:c>
      <x:c r="E52" s="14" t="str">
        <x:v>namyoung1996@yahoo.co.kr</x:v>
      </x:c>
      <x:c r="F52" s="14" t="str">
        <x:v>C</x:v>
      </x:c>
      <x:c r="G52" s="14" t="str">
        <x:v>과거/보조 웹자료</x:v>
      </x:c>
      <x:c r="H52" s="14" t="str">
        <x:v>현재 산업단지 공공목록은 전화/업체 실체만 교차확인</x:v>
      </x:c>
      <x:c r="I52" s="14" t="str">
        <x:v>전화 선확인 후 이메일</x:v>
      </x:c>
      <x:c r="J52" s="14" t="str">
        <x:v>메일주소 전화 재확인</x:v>
      </x:c>
      <x:c r="K52" s="14" t="n">
        <x:v>75</x:v>
      </x:c>
      <x:c r="L52" s="14" t="str">
        <x:v>https://nyfc.kr/</x:v>
      </x:c>
      <x:c r="M52" s="14" t="str">
        <x:v>현재 공식 웹에서 이메일 동일성 확인이 부족해 C등급.</x:v>
      </x:c>
    </x:row>
    <x:row r="53" ht="48" customHeight="1">
      <x:c r="A53" s="14" t="str">
        <x:v>EXP-062</x:v>
      </x:c>
      <x:c r="B53" s="14" t="str">
        <x:v>S07</x:v>
      </x:c>
      <x:c r="C53" s="14" t="str">
        <x:v>(주)성하 / SignalTree</x:v>
      </x:c>
      <x:c r="D53" s="14" t="str">
        <x:v>031-425-5164</x:v>
      </x:c>
      <x:c r="E53" s="14" t="str">
        <x:v>sungha0405@hanmail.net</x:v>
      </x:c>
      <x:c r="F53" s="14" t="str">
        <x:v>C</x:v>
      </x:c>
      <x:c r="G53" s="14" t="str">
        <x:v>공공/지원사업 기업정보</x:v>
      </x:c>
      <x:c r="H53" s="14" t="str">
        <x:v>채용/기업정보 독립자료 동일 표기</x:v>
      </x:c>
      <x:c r="I53" s="14" t="str">
        <x:v>전화 선확인 후 이메일</x:v>
      </x:c>
      <x:c r="J53" s="14" t="str">
        <x:v>메일주소 전화 재확인</x:v>
      </x:c>
      <x:c r="K53" s="14" t="n">
        <x:v>75</x:v>
      </x:c>
      <x:c r="L53" s="14" t="str">
        <x:v>https://www.signaltree.kr/</x:v>
      </x:c>
      <x:c r="M53" s="14" t="str">
        <x:v>공식 기업사이트에서 직접 노출을 확인하지 못해 C등급. 두 독립 공공/기업자료에서 동일 메일 교차.</x:v>
      </x:c>
    </x:row>
    <x:row r="54" ht="48" customHeight="1">
      <x:c r="A54" s="14" t="str">
        <x:v>EXP-029</x:v>
      </x:c>
      <x:c r="B54" s="14" t="str">
        <x:v>S03</x:v>
      </x:c>
      <x:c r="C54" s="14" t="str">
        <x:v>동산테크</x:v>
      </x:c>
      <x:c r="D54" s="14" t="str">
        <x:v>공식 문의경로 확인 필요</x:v>
      </x:c>
      <x:c r="E54" s="14" t="str">
        <x:v>dos7700@hanmail.net / dos7700@daum.net</x:v>
      </x:c>
      <x:c r="F54" s="14" t="str">
        <x:v>CONFLICT</x:v>
      </x:c>
      <x:c r="G54" s="14" t="str">
        <x:v>공식 사이트 일부 페이지: dos7700@hanmail.net</x:v>
      </x:c>
      <x:c r="H54" s="14" t="str">
        <x:v>공식 견적/연락 페이지: dos7700@daum.net</x:v>
      </x:c>
      <x:c r="I54" s="14" t="str">
        <x:v>공식 문의폼+전화로 주소 확정 후 발송</x:v>
      </x:c>
      <x:c r="J54" s="14" t="str">
        <x:v>발송 금지-메일충돌</x:v>
      </x:c>
      <x:c r="K54" s="14" t="n">
        <x:v>68</x:v>
      </x:c>
      <x:c r="L54" s="14" t="str">
        <x:v>https://ds-technology.co.kr/sub/sub02_10.php</x:v>
      </x:c>
      <x:c r="M54" s="14" t="str">
        <x:v>공식 웹 내부 메일 주소 불일치. 전화/폼으로 현재 수신 주소 확인 필요.</x:v>
      </x:c>
    </x:row>
    <x:row r="55" ht="48" customHeight="1">
      <x:c r="A55" s="14" t="str">
        <x:v>EXP-100</x:v>
      </x:c>
      <x:c r="B55" s="14" t="str">
        <x:v>S10</x:v>
      </x:c>
      <x:c r="C55" s="14" t="str">
        <x:v>다은네이처</x:v>
      </x:c>
      <x:c r="D55" s="14" t="str">
        <x:v>031-432-6305</x:v>
      </x:c>
      <x:c r="E55" s="14" t="str">
        <x:v>공개 이메일 미확인</x:v>
      </x:c>
      <x:c r="F55" s="14" t="str">
        <x:v>X</x:v>
      </x:c>
      <x:c r="G55" s="14" t="str"/>
      <x:c r="H55" s="14" t="str"/>
      <x:c r="I55" s="14" t="str">
        <x:v>공공기업정보 확인 전화</x:v>
      </x:c>
      <x:c r="J55" s="14" t="str">
        <x:v>전화 선행</x:v>
      </x:c>
      <x:c r="K55" s="14" t="n">
        <x:v>78</x:v>
      </x:c>
      <x:c r="L55" s="14" t="str">
        <x:v>http://dnnature.com/</x:v>
      </x:c>
      <x:c r="M55" s="14" t="str">
        <x:v>시흥시 B2B 공공 플랫폼에서 제조업체·전화·홈페이지 확인. 공개 이메일 미확인.</x:v>
      </x:c>
    </x:row>
    <x:row r="56" ht="48" customHeight="1">
      <x:c r="A56" s="14" t="str">
        <x:v>EXP-023</x:v>
      </x:c>
      <x:c r="B56" s="14" t="str">
        <x:v>S03</x:v>
      </x:c>
      <x:c r="C56" s="14" t="str">
        <x:v>택배지킴이</x:v>
      </x:c>
      <x:c r="D56" s="14" t="str">
        <x:v>미확인</x:v>
      </x:c>
      <x:c r="E56" s="14" t="str">
        <x:v>공개 이메일 미확인</x:v>
      </x:c>
      <x:c r="F56" s="14" t="str">
        <x:v>X</x:v>
      </x:c>
      <x:c r="G56" s="14" t="str"/>
      <x:c r="H56" s="14" t="str"/>
      <x:c r="I56" s="14" t="str">
        <x:v>업체 실체 재검증</x:v>
      </x:c>
      <x:c r="J56" s="14" t="str">
        <x:v>DROP/VERIFY</x:v>
      </x:c>
      <x:c r="K56" s="14" t="n">
        <x:v>77</x:v>
      </x:c>
      <x:c r="L56" s="14" t="str">
        <x:v>https://xn--2h3b29rnxbp1l1f.com/</x:v>
      </x:c>
      <x:c r="M56" s="14" t="str">
        <x:v>검색에서 독립 제조·공급업체보다 마켓 상품명 형태가 주로 확인됨. 64개 중 우선 영업대상에서 제외 권장.</x:v>
      </x:c>
    </x:row>
    <x:row r="57" ht="48" customHeight="1">
      <x:c r="A57" s="14" t="str">
        <x:v>EXP-059</x:v>
      </x:c>
      <x:c r="B57" s="14" t="str">
        <x:v>S06</x:v>
      </x:c>
      <x:c r="C57" s="14" t="str">
        <x:v>테라피아엔지</x:v>
      </x:c>
      <x:c r="D57" s="14" t="str">
        <x:v>02-2624-2577(공공/업체DB 교차)</x:v>
      </x:c>
      <x:c r="E57" s="14" t="str">
        <x:v>공개 이메일 미확인</x:v>
      </x:c>
      <x:c r="F57" s="14" t="str">
        <x:v>X</x:v>
      </x:c>
      <x:c r="G57" s="14" t="str"/>
      <x:c r="H57" s="14" t="str"/>
      <x:c r="I57" s="14" t="str">
        <x:v>공식 사이트 문의+전화 재확인</x:v>
      </x:c>
      <x:c r="J57" s="14" t="str">
        <x:v>전화/폼 선행</x:v>
      </x:c>
      <x:c r="K57" s="14" t="n">
        <x:v>74</x:v>
      </x:c>
      <x:c r="L57" s="14" t="str">
        <x:v>https://therapiaeng.com/sub/sub2_3.php</x:v>
      </x:c>
      <x:c r="M57" s="14" t="str">
        <x:v>공식사이트에서 공개 이메일 미확인.</x:v>
      </x:c>
    </x:row>
    <x:row r="58" ht="48" customHeight="1">
      <x:c r="A58" s="14" t="str">
        <x:v>EXP-006</x:v>
      </x:c>
      <x:c r="B58" s="14" t="str">
        <x:v>S01</x:v>
      </x:c>
      <x:c r="C58" s="14" t="str">
        <x:v>영동철망(휀스)</x:v>
      </x:c>
      <x:c r="D58" s="14" t="str">
        <x:v>051-262-4344 / 010-4550-4345 / 055-388-4344</x:v>
      </x:c>
      <x:c r="E58" s="14" t="str">
        <x:v>공개 이메일 미확인</x:v>
      </x:c>
      <x:c r="F58" s="14" t="str">
        <x:v>X</x:v>
      </x:c>
      <x:c r="G58" s="14" t="str"/>
      <x:c r="H58" s="14" t="str"/>
      <x:c r="I58" s="14" t="str">
        <x:v>대표전화</x:v>
      </x:c>
      <x:c r="J58" s="14" t="str">
        <x:v>전화 선행</x:v>
      </x:c>
      <x:c r="K58" s="14" t="n">
        <x:v>73</x:v>
      </x:c>
      <x:c r="L58" s="14" t="str">
        <x:v>https://www.youngdong09.kr/</x:v>
      </x:c>
      <x:c r="M58" s="14" t="str">
        <x:v>공식 웹에서 공개 이메일 미확인.</x:v>
      </x:c>
    </x:row>
    <x:row r="59" ht="48" customHeight="1">
      <x:c r="A59" s="14" t="str">
        <x:v>EXP-058</x:v>
      </x:c>
      <x:c r="B59" s="14" t="str">
        <x:v>S06</x:v>
      </x:c>
      <x:c r="C59" s="14" t="str">
        <x:v>리안아쿠아</x:v>
      </x:c>
      <x:c r="D59" s="14" t="str">
        <x:v>010-5346-2063</x:v>
      </x:c>
      <x:c r="E59" s="14" t="str">
        <x:v>공개 이메일 미확인</x:v>
      </x:c>
      <x:c r="F59" s="14" t="str">
        <x:v>X</x:v>
      </x:c>
      <x:c r="G59" s="14" t="str"/>
      <x:c r="H59" s="14" t="str"/>
      <x:c r="I59" s="14" t="str">
        <x:v>대표전화/공식 웹문의</x:v>
      </x:c>
      <x:c r="J59" s="14" t="str">
        <x:v>전화/폼 선행</x:v>
      </x:c>
      <x:c r="K59" s="14" t="n">
        <x:v>73</x:v>
      </x:c>
      <x:c r="L59" s="14" t="str">
        <x:v>https://rianaqua.itpage.kr/</x:v>
      </x:c>
      <x:c r="M59" s="14" t="str"/>
    </x:row>
    <x:row r="60" ht="48" customHeight="1">
      <x:c r="A60" s="14" t="str">
        <x:v>EXP-008</x:v>
      </x:c>
      <x:c r="B60" s="14" t="str">
        <x:v>S01</x:v>
      </x:c>
      <x:c r="C60" s="14" t="str">
        <x:v>전주휀스철망</x:v>
      </x:c>
      <x:c r="D60" s="14" t="str">
        <x:v>010-9400-8026</x:v>
      </x:c>
      <x:c r="E60" s="14" t="str">
        <x:v>공개 이메일 미확인</x:v>
      </x:c>
      <x:c r="F60" s="14" t="str">
        <x:v>X</x:v>
      </x:c>
      <x:c r="G60" s="14" t="str"/>
      <x:c r="H60" s="14" t="str"/>
      <x:c r="I60" s="14" t="str">
        <x:v>대표전화</x:v>
      </x:c>
      <x:c r="J60" s="14" t="str">
        <x:v>전화 선행</x:v>
      </x:c>
      <x:c r="K60" s="14" t="n">
        <x:v>72</x:v>
      </x:c>
      <x:c r="L60" s="14" t="str">
        <x:v>https://cnfence.co.kr/base/product/01.php?com_board_category_code=c1</x:v>
      </x:c>
      <x:c r="M60" s="14" t="str">
        <x:v>도메인 WHOIS/플랫폼의 무관한 이메일은 사용하지 않음.</x:v>
      </x:c>
    </x:row>
    <x:row r="61" ht="48" customHeight="1">
      <x:c r="A61" s="14" t="str">
        <x:v>EXP-060</x:v>
      </x:c>
      <x:c r="B61" s="14" t="str">
        <x:v>S06</x:v>
      </x:c>
      <x:c r="C61" s="14" t="str">
        <x:v>주식회사 와이케이</x:v>
      </x:c>
      <x:c r="D61" s="14" t="str">
        <x:v>공사문의 010-3596-0538 / 인테리어 010-8931-1138</x:v>
      </x:c>
      <x:c r="E61" s="14" t="str">
        <x:v>공개 이메일 미확인</x:v>
      </x:c>
      <x:c r="F61" s="14" t="str">
        <x:v>X</x:v>
      </x:c>
      <x:c r="G61" s="14" t="str"/>
      <x:c r="H61" s="14" t="str"/>
      <x:c r="I61" s="14" t="str">
        <x:v>공식 고객문의폼+업무별 전화</x:v>
      </x:c>
      <x:c r="J61" s="14" t="str">
        <x:v>문의폼/전화 선행</x:v>
      </x:c>
      <x:c r="K61" s="14" t="n">
        <x:v>72</x:v>
      </x:c>
      <x:c r="L61" s="14" t="str">
        <x:v>https://esgeng.co.kr/?page_id=1141</x:v>
      </x:c>
      <x:c r="M61" s="14" t="str"/>
    </x:row>
    <x:row r="62" ht="48" customHeight="1">
      <x:c r="A62" s="14" t="str">
        <x:v>EXP-001</x:v>
      </x:c>
      <x:c r="B62" s="14" t="str">
        <x:v>S01</x:v>
      </x:c>
      <x:c r="C62" s="14" t="str">
        <x:v>효성게이트</x:v>
      </x:c>
      <x:c r="D62" s="14" t="str">
        <x:v>공식 사이트 문의폼 중심</x:v>
      </x:c>
      <x:c r="E62" s="14" t="str">
        <x:v>공개 이메일 미확인</x:v>
      </x:c>
      <x:c r="F62" s="14" t="str">
        <x:v>X</x:v>
      </x:c>
      <x:c r="G62" s="14" t="str"/>
      <x:c r="H62" s="14" t="str"/>
      <x:c r="I62" s="14" t="str">
        <x:v>공식 온라인문의</x:v>
      </x:c>
      <x:c r="J62" s="14" t="str">
        <x:v>전화/폼 선행</x:v>
      </x:c>
      <x:c r="K62" s="14" t="n">
        <x:v>70</x:v>
      </x:c>
      <x:c r="L62" s="14" t="str">
        <x:v>https://www.hyosunggate.com/</x:v>
      </x:c>
      <x:c r="M62" s="14" t="str">
        <x:v>공개 이메일을 확인하지 못함. 주소 추측 금지.</x:v>
      </x:c>
    </x:row>
    <x:row r="63" ht="48" customHeight="1">
      <x:c r="A63" s="14" t="str">
        <x:v>EXP-021</x:v>
      </x:c>
      <x:c r="B63" s="14" t="str">
        <x:v>S03</x:v>
      </x:c>
      <x:c r="C63" s="14" t="str">
        <x:v>동광뉴텍</x:v>
      </x:c>
      <x:c r="D63" s="14" t="str">
        <x:v>1644-5788</x:v>
      </x:c>
      <x:c r="E63" s="14" t="str">
        <x:v>공개 이메일 미확인</x:v>
      </x:c>
      <x:c r="F63" s="14" t="str">
        <x:v>X</x:v>
      </x:c>
      <x:c r="G63" s="14" t="str"/>
      <x:c r="H63" s="14" t="str"/>
      <x:c r="I63" s="14" t="str">
        <x:v>대표전화+공식 견적폼</x:v>
      </x:c>
      <x:c r="J63" s="14" t="str">
        <x:v>견적폼/전화 선행</x:v>
      </x:c>
      <x:c r="K63" s="14" t="n">
        <x:v>70</x:v>
      </x:c>
      <x:c r="L63" s="14" t="str">
        <x:v>https://www.dknt.co.kr/</x:v>
      </x:c>
      <x:c r="M63" s="14" t="str">
        <x:v>공개 기업 이메일 미확인.</x:v>
      </x:c>
    </x:row>
    <x:row r="64" ht="48" customHeight="1">
      <x:c r="A64" s="14" t="str">
        <x:v>EXP-022</x:v>
      </x:c>
      <x:c r="B64" s="14" t="str">
        <x:v>S03</x:v>
      </x:c>
      <x:c r="C64" s="14" t="str">
        <x:v>(주)헤드</x:v>
      </x:c>
      <x:c r="D64" s="14" t="str">
        <x:v>1544-9808</x:v>
      </x:c>
      <x:c r="E64" s="14" t="str">
        <x:v>공개 이메일 미확인</x:v>
      </x:c>
      <x:c r="F64" s="14" t="str">
        <x:v>X</x:v>
      </x:c>
      <x:c r="G64" s="14" t="str"/>
      <x:c r="H64" s="14" t="str"/>
      <x:c r="I64" s="14" t="str">
        <x:v>대표전화+공식 문의폼</x:v>
      </x:c>
      <x:c r="J64" s="14" t="str">
        <x:v>문의폼/전화 선행</x:v>
      </x:c>
      <x:c r="K64" s="14" t="n">
        <x:v>69</x:v>
      </x:c>
      <x:c r="L64" s="14" t="str">
        <x:v>https://www.hadatb.co.kr/</x:v>
      </x:c>
      <x:c r="M64" s="14" t="str"/>
    </x:row>
    <x:row r="65" ht="48" customHeight="1">
      <x:c r="A65" s="14" t="str">
        <x:v>EXP-073</x:v>
      </x:c>
      <x:c r="B65" s="14" t="str">
        <x:v>S08</x:v>
      </x:c>
      <x:c r="C65" s="14" t="str">
        <x:v>보흥클레온 / CLEON</x:v>
      </x:c>
      <x:c r="D65" s="14" t="str">
        <x:v>1577-6234</x:v>
      </x:c>
      <x:c r="E65" s="14" t="str">
        <x:v>공개 이메일 미확인</x:v>
      </x:c>
      <x:c r="F65" s="14" t="str">
        <x:v>X</x:v>
      </x:c>
      <x:c r="G65" s="14" t="str"/>
      <x:c r="H65" s="14" t="str"/>
      <x:c r="I65" s="14" t="str">
        <x:v>고객센터/쇼핑몰 문의</x:v>
      </x:c>
      <x:c r="J65" s="14" t="str">
        <x:v>전화/사이트 문의 선행</x:v>
      </x:c>
      <x:c r="K65" s="14" t="n">
        <x:v>61</x:v>
      </x:c>
      <x:c r="L65" s="14" t="str">
        <x:v>https://www.cleon.co.kr/</x:v>
      </x:c>
      <x:c r="M65" s="14" t="str">
        <x:v>공개 이메일은 확인하지 못했으나 온라인몰·FAQ·A/S 체계가 매우 강함.</x:v>
      </x:c>
    </x:row>
  </x:sheetData>
  <x:conditionalFormatting sqref="F2:F65">
    <x:cfRule type="expression" dxfId="23" priority="1">
      <x:formula>F2="A"</x:formula>
    </x:cfRule>
    <x:cfRule type="expression" dxfId="24" priority="2">
      <x:formula>F2="B"</x:formula>
    </x:cfRule>
    <x:cfRule type="expression" dxfId="25" priority="3">
      <x:formula>F2="C"</x:formula>
    </x:cfRule>
    <x:cfRule type="expression" dxfId="26" priority="4">
      <x:formula>F2="CONFLICT"</x:formula>
    </x:cfRule>
    <x:cfRule type="expression" dxfId="27" priority="5">
      <x:formula>F2="X"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a4487027354d72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54" hidden="0" customWidth="1"/>
    <x:col min="5" max="5" width="46" hidden="0" customWidth="1"/>
    <x:col min="7" max="7" width="15" hidden="0" customWidth="1"/>
    <x:col min="8" max="8" width="12" hidden="0" customWidth="1"/>
    <x:col min="9" max="9" width="18" hidden="0" customWidth="1"/>
    <x:col min="10" max="10" width="62" hidden="0" customWidth="1"/>
  </x:cols>
  <x:sheetData>
    <x:row r="1">
      <x:c r="A1" s="109" t="str">
        <x:v>항목</x:v>
      </x:c>
      <x:c r="B1" s="109" t="str">
        <x:v>공개 확정 가능</x:v>
      </x:c>
      <x:c r="C1" s="109" t="str">
        <x:v>대부분 상태</x:v>
      </x:c>
      <x:c r="D1" s="109" t="str">
        <x:v>왜 메일로 확인해야 하는가</x:v>
      </x:c>
      <x:c r="E1" s="109" t="str">
        <x:v>첫 문의에서 받을 답</x:v>
      </x:c>
      <x:c r="G1" s="106" t="str">
        <x:v>이메일 등급</x:v>
      </x:c>
      <x:c r="H1" s="106" t="str">
        <x:v>업체수</x:v>
      </x:c>
      <x:c r="I1" s="106" t="str">
        <x:v>발송 허용</x:v>
      </x:c>
      <x:c r="J1" s="106" t="str">
        <x:v>기준</x:v>
      </x:c>
    </x:row>
    <x:row r="2">
      <x:c r="A2" s="12" t="str">
        <x:v>RHINORY 온라인 판매 허용</x:v>
      </x:c>
      <x:c r="B2" s="12" t="str">
        <x:v>거의 없음</x:v>
      </x:c>
      <x:c r="C2" s="12" t="str">
        <x:v>문의 필요</x:v>
      </x:c>
      <x:c r="D2" s="12" t="str">
        <x:v>자사몰 판매와 제3자 리셀러 허용은 별개</x:v>
      </x:c>
      <x:c r="E2" s="12" t="str">
        <x:v>온라인 리셀러/입점 가능 여부</x:v>
      </x:c>
      <x:c r="G2" s="12" t="str">
        <x:v>A</x:v>
      </x:c>
      <x:c r="H2" s="12" t="n">
        <x:v>40</x:v>
      </x:c>
      <x:c r="I2" s="12" t="str">
        <x:v>O</x:v>
      </x:c>
      <x:c r="J2" s="12" t="str">
        <x:v>동일 메일을 복수 공식 페이지 또는 공식+공공 출처로 교차확인</x:v>
      </x:c>
    </x:row>
    <x:row r="3">
      <x:c r="A3" s="12" t="str">
        <x:v>위탁판매/직배송</x:v>
      </x:c>
      <x:c r="B3" s="12" t="str">
        <x:v>거의 없음</x:v>
      </x:c>
      <x:c r="C3" s="12" t="str">
        <x:v>문의 필요</x:v>
      </x:c>
      <x:c r="D3" s="12" t="str">
        <x:v>물류·반품 책임이 계약 조건</x:v>
      </x:c>
      <x:c r="E3" s="12" t="str">
        <x:v>재고 보유주체, 고객 직배송 가능 여부</x:v>
      </x:c>
      <x:c r="G3" s="12" t="str">
        <x:v>B</x:v>
      </x:c>
      <x:c r="H3" s="12" t="n">
        <x:v>10</x:v>
      </x:c>
      <x:c r="I3" s="12" t="str">
        <x:v>O</x:v>
      </x:c>
      <x:c r="J3" s="12" t="str">
        <x:v>현재 공식 기업 페이지에서 직접 확인</x:v>
      </x:c>
    </x:row>
    <x:row r="4">
      <x:c r="A4" s="12" t="str">
        <x:v>공급가/MOQ</x:v>
      </x:c>
      <x:c r="B4" s="12" t="str">
        <x:v>일부 B2B 업체만 힌트</x:v>
      </x:c>
      <x:c r="C4" s="12" t="str">
        <x:v>문의 필요</x:v>
      </x:c>
      <x:c r="D4" s="12" t="str">
        <x:v>공개 소비자가로는 수익성 판단 불가</x:v>
      </x:c>
      <x:c r="E4" s="12" t="str">
        <x:v>공급가표, 최소주문, 정산조건</x:v>
      </x:c>
      <x:c r="G4" s="12" t="str">
        <x:v>C</x:v>
      </x:c>
      <x:c r="H4" s="12" t="n">
        <x:v>2</x:v>
      </x:c>
      <x:c r="I4" s="12" t="str">
        <x:v>전화 확인 후</x:v>
      </x:c>
      <x:c r="J4" s="12" t="str">
        <x:v>공공/신뢰 가능한 외부자료만 교차확인, 공식 웹 직접 노출 부족</x:v>
      </x:c>
    </x:row>
    <x:row r="5">
      <x:c r="A5" s="12" t="str">
        <x:v>OEM/PB</x:v>
      </x:c>
      <x:c r="B5" s="12" t="str">
        <x:v>일부 제조사만 공개</x:v>
      </x:c>
      <x:c r="C5" s="12" t="str">
        <x:v>문의 필요</x:v>
      </x:c>
      <x:c r="D5" s="12" t="str">
        <x:v>제조 능력과 OEM 수락은 별개</x:v>
      </x:c>
      <x:c r="E5" s="12" t="str">
        <x:v>최소수량, 금형/개발비, 브랜드 표기</x:v>
      </x:c>
      <x:c r="G5" s="12" t="str">
        <x:v>CONFLICT</x:v>
      </x:c>
      <x:c r="H5" s="12" t="n">
        <x:v>1</x:v>
      </x:c>
      <x:c r="I5" s="12" t="str">
        <x:v>X</x:v>
      </x:c>
      <x:c r="J5" s="12" t="str">
        <x:v>공식 출처끼리 이메일이 불일치</x:v>
      </x:c>
    </x:row>
    <x:row r="6">
      <x:c r="A6" s="12" t="str">
        <x:v>설치지역</x:v>
      </x:c>
      <x:c r="B6" s="12" t="str">
        <x:v>일부 전국 표방</x:v>
      </x:c>
      <x:c r="C6" s="12" t="str">
        <x:v>혼재</x:v>
      </x:c>
      <x:c r="D6" s="12" t="str">
        <x:v>제품 배송과 현장 시공권역이 다름</x:v>
      </x:c>
      <x:c r="E6" s="12" t="str">
        <x:v>지역별 설치 가능/출장비</x:v>
      </x:c>
      <x:c r="G6" s="12" t="str">
        <x:v>X</x:v>
      </x:c>
      <x:c r="H6" s="12" t="n">
        <x:v>11</x:v>
      </x:c>
      <x:c r="I6" s="12" t="str">
        <x:v>X</x:v>
      </x:c>
      <x:c r="J6" s="12" t="str">
        <x:v>공개 이메일 미확인. 추측 주소 생성 금지</x:v>
      </x:c>
    </x:row>
    <x:row r="7">
      <x:c r="A7" s="12" t="str">
        <x:v>A/S 책임</x:v>
      </x:c>
      <x:c r="B7" s="12" t="str">
        <x:v>일부 공개</x:v>
      </x:c>
      <x:c r="C7" s="12" t="str">
        <x:v>혼재</x:v>
      </x:c>
      <x:c r="D7" s="12" t="str">
        <x:v>RHINORY CS 범위 결정 필요</x:v>
      </x:c>
      <x:c r="E7" s="12" t="str">
        <x:v>보증기간, 접수주체, 출장/부품비</x:v>
      </x:c>
    </x:row>
    <x:row r="8">
      <x:c r="A8" s="12" t="str">
        <x:v>제품자료 사용권</x:v>
      </x:c>
      <x:c r="B8" s="12" t="str">
        <x:v>거의 없음</x:v>
      </x:c>
      <x:c r="C8" s="12" t="str">
        <x:v>사전승인 필요</x:v>
      </x:c>
      <x:c r="D8" s="12" t="str">
        <x:v>웹 공개 이미지도 재사용 권한과 다름</x:v>
      </x:c>
      <x:c r="E8" s="12" t="str">
        <x:v>사진/카탈로그/상세페이지/영상 사용 승인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0" hidden="0" customWidth="1"/>
    <x:col min="4" max="4" width="26" hidden="0" customWidth="1"/>
    <x:col min="5" max="5" width="28" hidden="0" customWidth="1"/>
    <x:col min="6" max="6" width="31" hidden="0" customWidth="1"/>
    <x:col min="7" max="7" width="12" hidden="0" customWidth="1"/>
    <x:col min="8" max="8" width="27" hidden="0" customWidth="1"/>
    <x:col min="9" max="9" width="27" hidden="0" customWidth="1"/>
    <x:col min="10" max="10" width="13" hidden="0" customWidth="1"/>
    <x:col min="11" max="11" width="14" hidden="0" customWidth="1"/>
    <x:col min="12" max="12" width="13" hidden="0" customWidth="1"/>
    <x:col min="13" max="13" width="25" hidden="0" customWidth="1"/>
    <x:col min="14" max="14" width="24" hidden="0" customWidth="1"/>
    <x:col min="15" max="15" width="22" hidden="0" customWidth="1"/>
    <x:col min="16" max="16" width="26" hidden="0" customWidth="1"/>
    <x:col min="17" max="17" width="26" hidden="0" customWidth="1"/>
    <x:col min="18" max="18" width="36" hidden="0" customWidth="1"/>
    <x:col min="19" max="19" width="44" hidden="0" customWidth="1"/>
  </x:cols>
  <x:sheetData>
    <x:row r="1">
      <x:c r="A1" s="112" t="str">
        <x:v>순위</x:v>
      </x:c>
      <x:c r="B1" s="112" t="str">
        <x:v>ID</x:v>
      </x:c>
      <x:c r="C1" s="112" t="str">
        <x:v>소싱군</x:v>
      </x:c>
      <x:c r="D1" s="112" t="str">
        <x:v>업체명</x:v>
      </x:c>
      <x:c r="E1" s="112" t="str">
        <x:v>상품</x:v>
      </x:c>
      <x:c r="F1" s="112" t="str">
        <x:v>확정메일</x:v>
      </x:c>
      <x:c r="G1" s="112" t="str">
        <x:v>메일등급</x:v>
      </x:c>
      <x:c r="H1" s="112" t="str">
        <x:v>전화</x:v>
      </x:c>
      <x:c r="I1" s="112" t="str">
        <x:v>접촉경로</x:v>
      </x:c>
      <x:c r="J1" s="112" t="str">
        <x:v>Supplier Fit</x:v>
      </x:c>
      <x:c r="K1" s="112" t="str">
        <x:v>AEO기회 v2</x:v>
      </x:c>
      <x:c r="L1" s="112" t="str">
        <x:v>영업점수</x:v>
      </x:c>
      <x:c r="M1" s="112" t="str">
        <x:v>공급역할</x:v>
      </x:c>
      <x:c r="N1" s="112" t="str">
        <x:v>도매/B2B</x:v>
      </x:c>
      <x:c r="O1" s="112" t="str">
        <x:v>OEM/ODM</x:v>
      </x:c>
      <x:c r="P1" s="112" t="str">
        <x:v>설치지역</x:v>
      </x:c>
      <x:c r="Q1" s="112" t="str">
        <x:v>A/S</x:v>
      </x:c>
      <x:c r="R1" s="112" t="str">
        <x:v>자료사용권</x:v>
      </x:c>
      <x:c r="S1" s="112" t="str">
        <x:v>URL</x:v>
      </x:c>
    </x:row>
    <x:row r="2" ht="48" customHeight="1">
      <x:c r="A2" s="14" t="n">
        <x:v>1</x:v>
      </x:c>
      <x:c r="B2" s="14" t="str">
        <x:v>EXP-005</x:v>
      </x:c>
      <x:c r="C2" s="14" t="str">
        <x:v>S01</x:v>
      </x:c>
      <x:c r="D2" s="14" t="str">
        <x:v>영신철망</x:v>
      </x:c>
      <x:c r="E2" s="14" t="str">
        <x:v>철망·휀스</x:v>
      </x:c>
      <x:c r="F2" s="14" t="str">
        <x:v>gulva7750@naver.com</x:v>
      </x:c>
      <x:c r="G2" s="14" t="str">
        <x:v>A</x:v>
      </x:c>
      <x:c r="H2" s="14" t="str">
        <x:v>043-542-0317</x:v>
      </x:c>
      <x:c r="I2" s="14" t="str">
        <x:v>대표메일+전화</x:v>
      </x:c>
      <x:c r="J2" s="14" t="n">
        <x:v>94</x:v>
      </x:c>
      <x:c r="K2" s="14" t="n">
        <x:v>62</x:v>
      </x:c>
      <x:c r="L2" s="14" t="n">
        <x:v>86</x:v>
      </x:c>
      <x:c r="M2" s="14" t="str">
        <x:v>직접제조·판매·시공</x:v>
      </x:c>
      <x:c r="N2" s="14" t="str">
        <x:v>문의 필요(직접생산/판매 공개)</x:v>
      </x:c>
      <x:c r="O2" s="14" t="str">
        <x:v>문의 필요</x:v>
      </x:c>
      <x:c r="P2" s="14" t="str">
        <x:v>문의 필요</x:v>
      </x:c>
      <x:c r="Q2" s="14" t="str">
        <x:v>문의 필요</x:v>
      </x:c>
      <x:c r="R2" s="14" t="str">
        <x:v>사전승인 필요(공개 허용 문구 없음)</x:v>
      </x:c>
      <x:c r="S2" s="14" t="str">
        <x:v>https://www.yeswire.co.kr/</x:v>
      </x:c>
    </x:row>
    <x:row r="3" ht="48" customHeight="1">
      <x:c r="A3" s="14" t="n">
        <x:v>2</x:v>
      </x:c>
      <x:c r="B3" s="14" t="str">
        <x:v>EXP-043</x:v>
      </x:c>
      <x:c r="C3" s="14" t="str">
        <x:v>S05</x:v>
      </x:c>
      <x:c r="D3" s="14" t="str">
        <x:v>넥스트루버</x:v>
      </x:c>
      <x:c r="E3" s="14" t="str">
        <x:v>시스템퍼골라·루버</x:v>
      </x:c>
      <x:c r="F3" s="14" t="str">
        <x:v>nextdeco@next700.com</x:v>
      </x:c>
      <x:c r="G3" s="14" t="str">
        <x:v>A</x:v>
      </x:c>
      <x:c r="H3" s="14" t="str">
        <x:v>031-444-7119 / 010-4157-8119</x:v>
      </x:c>
      <x:c r="I3" s="14" t="str">
        <x:v>대표메일+전화</x:v>
      </x:c>
      <x:c r="J3" s="14" t="n">
        <x:v>92</x:v>
      </x:c>
      <x:c r="K3" s="14" t="n">
        <x:v>66</x:v>
      </x:c>
      <x:c r="L3" s="14" t="n">
        <x:v>86</x:v>
      </x:c>
      <x:c r="M3" s="14" t="str">
        <x:v>루버·시스템퍼골라 제작·시공</x:v>
      </x:c>
      <x:c r="N3" s="14" t="str">
        <x:v>문의 필요</x:v>
      </x:c>
      <x:c r="O3" s="14" t="str">
        <x:v>문의 필요</x:v>
      </x:c>
      <x:c r="P3" s="14" t="str">
        <x:v>문의 필요</x:v>
      </x:c>
      <x:c r="Q3" s="14" t="str">
        <x:v>문의 필요</x:v>
      </x:c>
      <x:c r="R3" s="14" t="str">
        <x:v>사전승인 필요(공개 허용 문구 없음)</x:v>
      </x:c>
      <x:c r="S3" s="14" t="str">
        <x:v>https://nextlouver.com/파고라루바-시스템파고라-합성목재루바-시공사례/</x:v>
      </x:c>
    </x:row>
    <x:row r="4" ht="48" customHeight="1">
      <x:c r="A4" s="14" t="n">
        <x:v>3</x:v>
      </x:c>
      <x:c r="B4" s="14" t="str">
        <x:v>EXP-095</x:v>
      </x:c>
      <x:c r="C4" s="14" t="str">
        <x:v>S10</x:v>
      </x:c>
      <x:c r="D4" s="14" t="str">
        <x:v>이지데코</x:v>
      </x:c>
      <x:c r="E4" s="14" t="str">
        <x:v>놀이·퍼걸러·벤치·자전거보관</x:v>
      </x:c>
      <x:c r="F4" s="14" t="str">
        <x:v>k9449762@hanmail.net</x:v>
      </x:c>
      <x:c r="G4" s="14" t="str">
        <x:v>A</x:v>
      </x:c>
      <x:c r="H4" s="14" t="str">
        <x:v>031-944-9762</x:v>
      </x:c>
      <x:c r="I4" s="14" t="str">
        <x:v>대표메일+전화</x:v>
      </x:c>
      <x:c r="J4" s="14" t="n">
        <x:v>95</x:v>
      </x:c>
      <x:c r="K4" s="14" t="n">
        <x:v>62</x:v>
      </x:c>
      <x:c r="L4" s="14" t="n">
        <x:v>86</x:v>
      </x:c>
      <x:c r="M4" s="14" t="str">
        <x:v>놀이·퍼걸러·벤치 등 시설물 제조·시공</x:v>
      </x:c>
      <x:c r="N4" s="14" t="str">
        <x:v>문의 필요</x:v>
      </x:c>
      <x:c r="O4" s="14" t="str">
        <x:v>문의 필요</x:v>
      </x:c>
      <x:c r="P4" s="14" t="str">
        <x:v>문의 필요</x:v>
      </x:c>
      <x:c r="Q4" s="14" t="str">
        <x:v>문의 필요</x:v>
      </x:c>
      <x:c r="R4" s="14" t="str">
        <x:v>사전승인 필요(공개 허용 문구 없음)</x:v>
      </x:c>
      <x:c r="S4" s="14" t="str">
        <x:v>https://www.ezpark.kr/sub01_4.html</x:v>
      </x:c>
    </x:row>
    <x:row r="5" ht="48" customHeight="1">
      <x:c r="A5" s="14" t="n">
        <x:v>4</x:v>
      </x:c>
      <x:c r="B5" s="14" t="str">
        <x:v>EXP-033</x:v>
      </x:c>
      <x:c r="C5" s="14" t="str">
        <x:v>S04</x:v>
      </x:c>
      <x:c r="D5" s="14" t="str">
        <x:v>셀링스시스템</x:v>
      </x:c>
      <x:c r="E5" s="14" t="str">
        <x:v>IP카메라·카메라모듈</x:v>
      </x:c>
      <x:c r="F5" s="14" t="str">
        <x:v>info@cellinx.co.kr</x:v>
      </x:c>
      <x:c r="G5" s="14" t="str">
        <x:v>A</x:v>
      </x:c>
      <x:c r="H5" s="14" t="str">
        <x:v>02-578-9805</x:v>
      </x:c>
      <x:c r="I5" s="14" t="str">
        <x:v>대표메일+RMA/A/S</x:v>
      </x:c>
      <x:c r="J5" s="14" t="n">
        <x:v>95</x:v>
      </x:c>
      <x:c r="K5" s="14" t="n">
        <x:v>58</x:v>
      </x:c>
      <x:c r="L5" s="14" t="n">
        <x:v>85</x:v>
      </x:c>
      <x:c r="M5" s="14" t="str">
        <x:v>IP카메라 R&amp;D·제조</x:v>
      </x:c>
      <x:c r="N5" s="14" t="str">
        <x:v>문의 필요</x:v>
      </x:c>
      <x:c r="O5" s="14" t="str">
        <x:v>문의 필요</x:v>
      </x:c>
      <x:c r="P5" s="14" t="str">
        <x:v>문의 필요</x:v>
      </x:c>
      <x:c r="Q5" s="14" t="str">
        <x:v>O(RMA/A/S)</x:v>
      </x:c>
      <x:c r="R5" s="14" t="str">
        <x:v>사전승인 필요(공개 허용 문구 없음)</x:v>
      </x:c>
      <x:c r="S5" s="14" t="str">
        <x:v>https://www.cellinx.co.kr/</x:v>
      </x:c>
    </x:row>
    <x:row r="6" ht="48" customHeight="1">
      <x:c r="A6" s="14" t="n">
        <x:v>5</x:v>
      </x:c>
      <x:c r="B6" s="14" t="str">
        <x:v>EXP-042</x:v>
      </x:c>
      <x:c r="C6" s="14" t="str">
        <x:v>S05</x:v>
      </x:c>
      <x:c r="D6" s="14" t="str">
        <x:v>썬베스트</x:v>
      </x:c>
      <x:c r="E6" s="14" t="str">
        <x:v>스카이어닝·시스템퍼골라</x:v>
      </x:c>
      <x:c r="F6" s="14" t="str">
        <x:v>sunbest2013@naver.com</x:v>
      </x:c>
      <x:c r="G6" s="14" t="str">
        <x:v>A</x:v>
      </x:c>
      <x:c r="H6" s="14" t="str">
        <x:v>02-521-1170 / 010-6351-5113</x:v>
      </x:c>
      <x:c r="I6" s="14" t="str">
        <x:v>대표메일+전화</x:v>
      </x:c>
      <x:c r="J6" s="14" t="n">
        <x:v>91</x:v>
      </x:c>
      <x:c r="K6" s="14" t="n">
        <x:v>62</x:v>
      </x:c>
      <x:c r="L6" s="14" t="n">
        <x:v>85</x:v>
      </x:c>
      <x:c r="M6" s="14" t="str">
        <x:v>차양·퍼골라 제작·시공</x:v>
      </x:c>
      <x:c r="N6" s="14" t="str">
        <x:v>문의 필요</x:v>
      </x:c>
      <x:c r="O6" s="14" t="str">
        <x:v>문의 필요</x:v>
      </x:c>
      <x:c r="P6" s="14" t="str">
        <x:v>문의 필요</x:v>
      </x:c>
      <x:c r="Q6" s="14" t="str">
        <x:v>문의 필요</x:v>
      </x:c>
      <x:c r="R6" s="14" t="str">
        <x:v>사전승인 필요(공개 허용 문구 없음)</x:v>
      </x:c>
      <x:c r="S6" s="14" t="str">
        <x:v>https://sunbest.co.kr/bizdemo94552/home/portfolio/page0601.php</x:v>
      </x:c>
    </x:row>
    <x:row r="7" ht="48" customHeight="1">
      <x:c r="A7" s="14" t="n">
        <x:v>6</x:v>
      </x:c>
      <x:c r="B7" s="14" t="str">
        <x:v>EXP-094</x:v>
      </x:c>
      <x:c r="C7" s="14" t="str">
        <x:v>S10</x:v>
      </x:c>
      <x:c r="D7" s="14" t="str">
        <x:v>용우테크</x:v>
      </x:c>
      <x:c r="E7" s="14" t="str">
        <x:v>놀이·조경·야외운동시설</x:v>
      </x:c>
      <x:c r="F7" s="14" t="str">
        <x:v>yw-77@naver.com</x:v>
      </x:c>
      <x:c r="G7" s="14" t="str">
        <x:v>A</x:v>
      </x:c>
      <x:c r="H7" s="14" t="str">
        <x:v>031-759-9906</x:v>
      </x:c>
      <x:c r="I7" s="14" t="str">
        <x:v>대표메일+전화</x:v>
      </x:c>
      <x:c r="J7" s="14" t="n">
        <x:v>94</x:v>
      </x:c>
      <x:c r="K7" s="14" t="n">
        <x:v>58</x:v>
      </x:c>
      <x:c r="L7" s="14" t="n">
        <x:v>85</x:v>
      </x:c>
      <x:c r="M7" s="14" t="str">
        <x:v>놀이·조경시설 제조·시공</x:v>
      </x:c>
      <x:c r="N7" s="14" t="str">
        <x:v>문의 필요</x:v>
      </x:c>
      <x:c r="O7" s="14" t="str">
        <x:v>문의 필요</x:v>
      </x:c>
      <x:c r="P7" s="14" t="str">
        <x:v>문의 필요</x:v>
      </x:c>
      <x:c r="Q7" s="14" t="str">
        <x:v>문의 필요</x:v>
      </x:c>
      <x:c r="R7" s="14" t="str">
        <x:v>사전승인 필요(공개 허용 문구 없음)</x:v>
      </x:c>
      <x:c r="S7" s="14" t="str">
        <x:v>https://www.kidssafe.co.kr/</x:v>
      </x:c>
    </x:row>
    <x:row r="8" ht="48" customHeight="1">
      <x:c r="A8" s="14" t="n">
        <x:v>7</x:v>
      </x:c>
      <x:c r="B8" s="14" t="str">
        <x:v>EXP-002</x:v>
      </x:c>
      <x:c r="C8" s="14" t="str">
        <x:v>S01</x:v>
      </x:c>
      <x:c r="D8" s="14" t="str">
        <x:v>동진에이디</x:v>
      </x:c>
      <x:c r="E8" s="14" t="str">
        <x:v>맞춤 대문·슬라이딩/스윙게이트</x:v>
      </x:c>
      <x:c r="F8" s="14" t="str">
        <x:v>dongjinad77@naver.com</x:v>
      </x:c>
      <x:c r="G8" s="14" t="str">
        <x:v>A</x:v>
      </x:c>
      <x:c r="H8" s="14" t="str">
        <x:v>1588-4619</x:v>
      </x:c>
      <x:c r="I8" s="14" t="str">
        <x:v>대표전화+대표메일</x:v>
      </x:c>
      <x:c r="J8" s="14" t="n">
        <x:v>92</x:v>
      </x:c>
      <x:c r="K8" s="14" t="n">
        <x:v>58</x:v>
      </x:c>
      <x:c r="L8" s="14" t="n">
        <x:v>84</x:v>
      </x:c>
      <x:c r="M8" s="14" t="str">
        <x:v>직접제작·설치</x:v>
      </x:c>
      <x:c r="N8" s="14" t="str">
        <x:v>문의 필요</x:v>
      </x:c>
      <x:c r="O8" s="14" t="str">
        <x:v>문의 필요</x:v>
      </x:c>
      <x:c r="P8" s="14" t="str">
        <x:v>문의 필요</x:v>
      </x:c>
      <x:c r="Q8" s="14" t="str">
        <x:v>O(제작→설치→사후관리 원스톱 표방)</x:v>
      </x:c>
      <x:c r="R8" s="14" t="str">
        <x:v>사전승인 필요(공개 허용 문구 없음)</x:v>
      </x:c>
      <x:c r="S8" s="14" t="str">
        <x:v>https://www.xn--2q1bjxg18a9qbsye.com/</x:v>
      </x:c>
    </x:row>
    <x:row r="9" ht="48" customHeight="1">
      <x:c r="A9" s="14" t="n">
        <x:v>8</x:v>
      </x:c>
      <x:c r="B9" s="14" t="str">
        <x:v>EXP-082</x:v>
      </x:c>
      <x:c r="C9" s="14" t="str">
        <x:v>S09</x:v>
      </x:c>
      <x:c r="D9" s="14" t="str">
        <x:v>이노일렉트릭</x:v>
      </x:c>
      <x:c r="E9" s="14" t="str">
        <x:v>주택용 태양광 인버터</x:v>
      </x:c>
      <x:c r="F9" s="14" t="str">
        <x:v>sales@swen.co.kr</x:v>
      </x:c>
      <x:c r="G9" s="14" t="str">
        <x:v>A</x:v>
      </x:c>
      <x:c r="H9" s="14" t="str">
        <x:v>제품/기술 1533-2215 / A/S 070-8859-2253</x:v>
      </x:c>
      <x:c r="I9" s="14" t="str">
        <x:v>Sales/제품기술</x:v>
      </x:c>
      <x:c r="J9" s="14" t="n">
        <x:v>96</x:v>
      </x:c>
      <x:c r="K9" s="14" t="n">
        <x:v>52</x:v>
      </x:c>
      <x:c r="L9" s="14" t="n">
        <x:v>84</x:v>
      </x:c>
      <x:c r="M9" s="14" t="str">
        <x:v>주택용 포함 태양광 인버터 개발·제조</x:v>
      </x:c>
      <x:c r="N9" s="14" t="str">
        <x:v>문의 필요</x:v>
      </x:c>
      <x:c r="O9" s="14" t="str">
        <x:v>문의 필요</x:v>
      </x:c>
      <x:c r="P9" s="14" t="str">
        <x:v>문의 필요</x:v>
      </x:c>
      <x:c r="Q9" s="14" t="str">
        <x:v>O(A/S 전용 연락처)</x:v>
      </x:c>
      <x:c r="R9" s="14" t="str">
        <x:v>사전승인 필요(공개 허용 문구 없음)</x:v>
      </x:c>
      <x:c r="S9" s="14" t="str">
        <x:v>https://www.solartodaymag.com/news/articleView.html?idxno=20176</x:v>
      </x:c>
    </x:row>
    <x:row r="10" ht="48" customHeight="1">
      <x:c r="A10" s="14" t="n">
        <x:v>9</x:v>
      </x:c>
      <x:c r="B10" s="14" t="str">
        <x:v>EXP-096</x:v>
      </x:c>
      <x:c r="C10" s="14" t="str">
        <x:v>S10</x:v>
      </x:c>
      <x:c r="D10" s="14" t="str">
        <x:v>(주)씨에스엘</x:v>
      </x:c>
      <x:c r="E10" s="14" t="str">
        <x:v>놀이시설·탄성포장</x:v>
      </x:c>
      <x:c r="F10" s="14" t="str">
        <x:v>road5852@naver.com</x:v>
      </x:c>
      <x:c r="G10" s="14" t="str">
        <x:v>A</x:v>
      </x:c>
      <x:c r="H10" s="14" t="str">
        <x:v>043-215-8803</x:v>
      </x:c>
      <x:c r="I10" s="14" t="str">
        <x:v>일반 업무메일</x:v>
      </x:c>
      <x:c r="J10" s="14" t="n">
        <x:v>90</x:v>
      </x:c>
      <x:c r="K10" s="14" t="n">
        <x:v>62</x:v>
      </x:c>
      <x:c r="L10" s="14" t="n">
        <x:v>84</x:v>
      </x:c>
      <x:c r="M10" s="14" t="str">
        <x:v>놀이시설·탄성포장 시공</x:v>
      </x:c>
      <x:c r="N10" s="14" t="str">
        <x:v>문의 필요</x:v>
      </x:c>
      <x:c r="O10" s="14" t="str">
        <x:v>문의 필요</x:v>
      </x:c>
      <x:c r="P10" s="14" t="str">
        <x:v>문의 필요</x:v>
      </x:c>
      <x:c r="Q10" s="14" t="str">
        <x:v>문의 필요</x:v>
      </x:c>
      <x:c r="R10" s="14" t="str">
        <x:v>사전승인 필요(공개 허용 문구 없음)</x:v>
      </x:c>
      <x:c r="S10" s="14" t="str">
        <x:v>https://cslgreen.com/Works6</x:v>
      </x:c>
    </x:row>
    <x:row r="11" ht="48" customHeight="1">
      <x:c r="A11" s="14" t="n">
        <x:v>10</x:v>
      </x:c>
      <x:c r="B11" s="14" t="str">
        <x:v>EXP-099</x:v>
      </x:c>
      <x:c r="C11" s="14" t="str">
        <x:v>S10</x:v>
      </x:c>
      <x:c r="D11" s="14" t="str">
        <x:v>YNC조경종합건설</x:v>
      </x:c>
      <x:c r="E11" s="14" t="str">
        <x:v>퍼걸러·놀이·조경시설</x:v>
      </x:c>
      <x:c r="F11" s="14" t="str">
        <x:v>ync6733@naver.com</x:v>
      </x:c>
      <x:c r="G11" s="14" t="str">
        <x:v>A</x:v>
      </x:c>
      <x:c r="H11" s="14" t="str">
        <x:v>031-674-6733</x:v>
      </x:c>
      <x:c r="I11" s="14" t="str">
        <x:v>대표메일+전화</x:v>
      </x:c>
      <x:c r="J11" s="14" t="n">
        <x:v>90</x:v>
      </x:c>
      <x:c r="K11" s="14" t="n">
        <x:v>60</x:v>
      </x:c>
      <x:c r="L11" s="14" t="n">
        <x:v>84</x:v>
      </x:c>
      <x:c r="M11" s="14" t="str">
        <x:v>조경·놀이·휴게시설 설계·시공</x:v>
      </x:c>
      <x:c r="N11" s="14" t="str">
        <x:v>문의 필요</x:v>
      </x:c>
      <x:c r="O11" s="14" t="str">
        <x:v>문의 필요</x:v>
      </x:c>
      <x:c r="P11" s="14" t="str">
        <x:v>전원주택/민간조경 포함</x:v>
      </x:c>
      <x:c r="Q11" s="14" t="str">
        <x:v>O(YNC Care/사후관리 표방)</x:v>
      </x:c>
      <x:c r="R11" s="14" t="str">
        <x:v>사전승인 필요(공개 허용 문구 없음)</x:v>
      </x:c>
      <x:c r="S11" s="14" t="str">
        <x:v>https://xn--z69akfs61doydtio9bvzdxxc.com/business/</x:v>
      </x:c>
    </x:row>
    <x:row r="12" ht="48" customHeight="1">
      <x:c r="A12" s="14" t="n">
        <x:v>11</x:v>
      </x:c>
      <x:c r="B12" s="14" t="str">
        <x:v>EXP-007</x:v>
      </x:c>
      <x:c r="C12" s="14" t="str">
        <x:v>S01</x:v>
      </x:c>
      <x:c r="D12" s="14" t="str">
        <x:v>영성산업</x:v>
      </x:c>
      <x:c r="E12" s="14" t="str">
        <x:v>용접철망·메쉬휀스</x:v>
      </x:c>
      <x:c r="F12" s="14" t="str">
        <x:v>yswn6011@daum.net</x:v>
      </x:c>
      <x:c r="G12" s="14" t="str">
        <x:v>A</x:v>
      </x:c>
      <x:c r="H12" s="14" t="str">
        <x:v>031-358-8304~5</x:v>
      </x:c>
      <x:c r="I12" s="14" t="str">
        <x:v>대표메일+문의폼</x:v>
      </x:c>
      <x:c r="J12" s="14" t="n">
        <x:v>94</x:v>
      </x:c>
      <x:c r="K12" s="14" t="n">
        <x:v>52</x:v>
      </x:c>
      <x:c r="L12" s="14" t="n">
        <x:v>83</x:v>
      </x:c>
      <x:c r="M12" s="14" t="str">
        <x:v>제조</x:v>
      </x:c>
      <x:c r="N12" s="14" t="str">
        <x:v>문의 필요</x:v>
      </x:c>
      <x:c r="O12" s="14" t="str">
        <x:v>문의 필요(제조설비 확인)</x:v>
      </x:c>
      <x:c r="P12" s="14" t="str">
        <x:v>문의 필요</x:v>
      </x:c>
      <x:c r="Q12" s="14" t="str">
        <x:v>문의 필요</x:v>
      </x:c>
      <x:c r="R12" s="14" t="str">
        <x:v>사전승인 필요(공개 허용 문구 없음)</x:v>
      </x:c>
      <x:c r="S12" s="14" t="str">
        <x:v>https://youngseong.co.kr/product06/</x:v>
      </x:c>
    </x:row>
    <x:row r="13" ht="48" customHeight="1">
      <x:c r="A13" s="14" t="n">
        <x:v>12</x:v>
      </x:c>
      <x:c r="B13" s="14" t="str">
        <x:v>EXP-025</x:v>
      </x:c>
      <x:c r="C13" s="14" t="str">
        <x:v>S03</x:v>
      </x:c>
      <x:c r="D13" s="14" t="str">
        <x:v>스위틸(Sweeteel)</x:v>
      </x:c>
      <x:c r="E13" s="14" t="str">
        <x:v>택배함·금속보관함</x:v>
      </x:c>
      <x:c r="F13" s="14" t="str">
        <x:v>sweeteel@naver.com</x:v>
      </x:c>
      <x:c r="G13" s="14" t="str">
        <x:v>A</x:v>
      </x:c>
      <x:c r="H13" s="14" t="str">
        <x:v>031-444-1196</x:v>
      </x:c>
      <x:c r="I13" s="14" t="str">
        <x:v>대표메일+전화</x:v>
      </x:c>
      <x:c r="J13" s="14" t="n">
        <x:v>91</x:v>
      </x:c>
      <x:c r="K13" s="14" t="n">
        <x:v>58</x:v>
      </x:c>
      <x:c r="L13" s="14" t="n">
        <x:v>83</x:v>
      </x:c>
      <x:c r="M13" s="14" t="str">
        <x:v>금속 맞춤제작</x:v>
      </x:c>
      <x:c r="N13" s="14" t="str">
        <x:v>문의 필요</x:v>
      </x:c>
      <x:c r="O13" s="14" t="str">
        <x:v>문의 필요(맞춤제작 공개)</x:v>
      </x:c>
      <x:c r="P13" s="14" t="str">
        <x:v>문의 필요</x:v>
      </x:c>
      <x:c r="Q13" s="14" t="str">
        <x:v>문의 필요</x:v>
      </x:c>
      <x:c r="R13" s="14" t="str">
        <x:v>사전승인 필요(공개 허용 문구 없음)</x:v>
      </x:c>
      <x:c r="S13" s="14" t="str">
        <x:v>https://sweeteel.com/</x:v>
      </x:c>
    </x:row>
    <x:row r="14" ht="48" customHeight="1">
      <x:c r="A14" s="14" t="n">
        <x:v>13</x:v>
      </x:c>
      <x:c r="B14" s="14" t="str">
        <x:v>EXP-044</x:v>
      </x:c>
      <x:c r="C14" s="14" t="str">
        <x:v>S05</x:v>
      </x:c>
      <x:c r="D14" s="14" t="str">
        <x:v>테라움 퍼골라</x:v>
      </x:c>
      <x:c r="E14" s="14" t="str">
        <x:v>전동 시스템퍼골라</x:v>
      </x:c>
      <x:c r="F14" s="14" t="str">
        <x:v>info@terraum.kr</x:v>
      </x:c>
      <x:c r="G14" s="14" t="str">
        <x:v>A</x:v>
      </x:c>
      <x:c r="H14" s="14" t="str">
        <x:v>02-2659-1772</x:v>
      </x:c>
      <x:c r="I14" s="14" t="str">
        <x:v>대표메일+상담</x:v>
      </x:c>
      <x:c r="J14" s="14" t="n">
        <x:v>90</x:v>
      </x:c>
      <x:c r="K14" s="14" t="n">
        <x:v>58</x:v>
      </x:c>
      <x:c r="L14" s="14" t="n">
        <x:v>83</x:v>
      </x:c>
      <x:c r="M14" s="14" t="str">
        <x:v>시스템퍼골라 공급·시공</x:v>
      </x:c>
      <x:c r="N14" s="14" t="str">
        <x:v>문의 필요</x:v>
      </x:c>
      <x:c r="O14" s="14" t="str">
        <x:v>문의 필요</x:v>
      </x:c>
      <x:c r="P14" s="14" t="str">
        <x:v>문의 필요</x:v>
      </x:c>
      <x:c r="Q14" s="14" t="str">
        <x:v>문의 필요</x:v>
      </x:c>
      <x:c r="R14" s="14" t="str">
        <x:v>사전승인 필요(공개 허용 문구 없음)</x:v>
      </x:c>
      <x:c r="S14" s="14" t="str">
        <x:v>https://terraum-pergola.kr/ares</x:v>
      </x:c>
    </x:row>
    <x:row r="15" ht="48" customHeight="1">
      <x:c r="A15" s="14" t="n">
        <x:v>14</x:v>
      </x:c>
      <x:c r="B15" s="14" t="str">
        <x:v>EXP-053</x:v>
      </x:c>
      <x:c r="C15" s="14" t="str">
        <x:v>S06</x:v>
      </x:c>
      <x:c r="D15" s="14" t="str">
        <x:v>극동무공</x:v>
      </x:c>
      <x:c r="E15" s="14" t="str">
        <x:v>수영장 수처리·스파·사우나</x:v>
      </x:c>
      <x:c r="F15" s="14" t="str">
        <x:v>spasauna@naver.com</x:v>
      </x:c>
      <x:c r="G15" s="14" t="str">
        <x:v>A</x:v>
      </x:c>
      <x:c r="H15" s="14" t="str">
        <x:v>02-754-0308</x:v>
      </x:c>
      <x:c r="I15" s="14" t="str">
        <x:v>대표메일+전화</x:v>
      </x:c>
      <x:c r="J15" s="14" t="n">
        <x:v>95</x:v>
      </x:c>
      <x:c r="K15" s="14" t="n">
        <x:v>50</x:v>
      </x:c>
      <x:c r="L15" s="14" t="n">
        <x:v>83</x:v>
      </x:c>
      <x:c r="M15" s="14" t="str">
        <x:v>수영장/스파/사우나 장비 제조·수입·시공</x:v>
      </x:c>
      <x:c r="N15" s="14" t="str">
        <x:v>문의 필요</x:v>
      </x:c>
      <x:c r="O15" s="14" t="str">
        <x:v>문의 필요</x:v>
      </x:c>
      <x:c r="P15" s="14" t="str">
        <x:v>문의 필요</x:v>
      </x:c>
      <x:c r="Q15" s="14" t="str">
        <x:v>문의 필요</x:v>
      </x:c>
      <x:c r="R15" s="14" t="str">
        <x:v>사전승인 필요(공개 허용 문구 없음)</x:v>
      </x:c>
      <x:c r="S15" s="14" t="str">
        <x:v>https://kdsauna.com/</x:v>
      </x:c>
    </x:row>
    <x:row r="16" ht="48" customHeight="1">
      <x:c r="A16" s="14" t="n">
        <x:v>15</x:v>
      </x:c>
      <x:c r="B16" s="14" t="str">
        <x:v>EXP-075</x:v>
      </x:c>
      <x:c r="C16" s="14" t="str">
        <x:v>S08</x:v>
      </x:c>
      <x:c r="D16" s="14" t="str">
        <x:v>성화제작소 / (주)성화</x:v>
      </x:c>
      <x:c r="E16" s="14" t="str">
        <x:v>고압·스팀·초고압세척</x:v>
      </x:c>
      <x:c r="F16" s="14" t="str">
        <x:v>shinc@shinc.co.kr</x:v>
      </x:c>
      <x:c r="G16" s="14" t="str">
        <x:v>A</x:v>
      </x:c>
      <x:c r="H16" s="14" t="str">
        <x:v>032-670-7311~3 / 02-884-6270~1</x:v>
      </x:c>
      <x:c r="I16" s="14" t="str">
        <x:v>대표메일+A/S</x:v>
      </x:c>
      <x:c r="J16" s="14" t="n">
        <x:v>97</x:v>
      </x:c>
      <x:c r="K16" s="14" t="n">
        <x:v>48</x:v>
      </x:c>
      <x:c r="L16" s="14" t="n">
        <x:v>83</x:v>
      </x:c>
      <x:c r="M16" s="14" t="str">
        <x:v>고압/스팀세척 장비 제조</x:v>
      </x:c>
      <x:c r="N16" s="14" t="str">
        <x:v>문의 필요</x:v>
      </x:c>
      <x:c r="O16" s="14" t="str">
        <x:v>문의 필요</x:v>
      </x:c>
      <x:c r="P16" s="14" t="str">
        <x:v>문의 필요</x:v>
      </x:c>
      <x:c r="Q16" s="14" t="str">
        <x:v>O(A/S 신청 페이지)</x:v>
      </x:c>
      <x:c r="R16" s="14" t="str">
        <x:v>사전승인 필요(공개 허용 문구 없음)</x:v>
      </x:c>
      <x:c r="S16" s="14" t="str">
        <x:v>https://www.shinc.co.kr/</x:v>
      </x:c>
    </x:row>
    <x:row r="17" ht="48" customHeight="1">
      <x:c r="A17" s="14" t="n">
        <x:v>16</x:v>
      </x:c>
      <x:c r="B17" s="14" t="str">
        <x:v>EXP-091</x:v>
      </x:c>
      <x:c r="C17" s="14" t="str">
        <x:v>S10</x:v>
      </x:c>
      <x:c r="D17" s="14" t="str">
        <x:v>더플래이</x:v>
      </x:c>
      <x:c r="E17" s="14" t="str">
        <x:v>어린이 놀이시설</x:v>
      </x:c>
      <x:c r="F17" s="14" t="str">
        <x:v>help@the-play.kr</x:v>
      </x:c>
      <x:c r="G17" s="14" t="str">
        <x:v>A</x:v>
      </x:c>
      <x:c r="H17" s="14" t="str">
        <x:v>031-943-4916</x:v>
      </x:c>
      <x:c r="I17" s="14" t="str">
        <x:v>대표메일+전화</x:v>
      </x:c>
      <x:c r="J17" s="14" t="n">
        <x:v>92</x:v>
      </x:c>
      <x:c r="K17" s="14" t="n">
        <x:v>54</x:v>
      </x:c>
      <x:c r="L17" s="14" t="n">
        <x:v>83</x:v>
      </x:c>
      <x:c r="M17" s="14" t="str">
        <x:v>어린이 놀이/환경시설 제조·공급</x:v>
      </x:c>
      <x:c r="N17" s="14" t="str">
        <x:v>문의 필요</x:v>
      </x:c>
      <x:c r="O17" s="14" t="str">
        <x:v>문의 필요</x:v>
      </x:c>
      <x:c r="P17" s="14" t="str">
        <x:v>문의 필요</x:v>
      </x:c>
      <x:c r="Q17" s="14" t="str">
        <x:v>문의 필요</x:v>
      </x:c>
      <x:c r="R17" s="14" t="str">
        <x:v>사전승인 필요(공개 허용 문구 없음)</x:v>
      </x:c>
      <x:c r="S17" s="14" t="str">
        <x:v>https://www.the-play.kr/</x:v>
      </x:c>
    </x:row>
    <x:row r="18" ht="48" customHeight="1">
      <x:c r="A18" s="14" t="n">
        <x:v>17</x:v>
      </x:c>
      <x:c r="B18" s="14" t="str">
        <x:v>EXP-093</x:v>
      </x:c>
      <x:c r="C18" s="14" t="str">
        <x:v>S10</x:v>
      </x:c>
      <x:c r="D18" s="14" t="str">
        <x:v>대건씨앤엘</x:v>
      </x:c>
      <x:c r="E18" s="14" t="str">
        <x:v>놀이시설 탄성포장</x:v>
      </x:c>
      <x:c r="F18" s="14" t="str">
        <x:v>daegun21@daegun21.net</x:v>
      </x:c>
      <x:c r="G18" s="14" t="str">
        <x:v>A</x:v>
      </x:c>
      <x:c r="H18" s="14" t="str">
        <x:v>033-743-5035</x:v>
      </x:c>
      <x:c r="I18" s="14" t="str">
        <x:v>제품문의/사업문의</x:v>
      </x:c>
      <x:c r="J18" s="14" t="n">
        <x:v>89</x:v>
      </x:c>
      <x:c r="K18" s="14" t="n">
        <x:v>60</x:v>
      </x:c>
      <x:c r="L18" s="14" t="n">
        <x:v>83</x:v>
      </x:c>
      <x:c r="M18" s="14" t="str">
        <x:v>탄성포장·놀이/체육자재 제조</x:v>
      </x:c>
      <x:c r="N18" s="14" t="str">
        <x:v>B2B 사업문의</x:v>
      </x:c>
      <x:c r="O18" s="14" t="str">
        <x:v>문의 필요</x:v>
      </x:c>
      <x:c r="P18" s="14" t="str">
        <x:v>문의 필요</x:v>
      </x:c>
      <x:c r="Q18" s="14" t="str">
        <x:v>문의 필요</x:v>
      </x:c>
      <x:c r="R18" s="14" t="str">
        <x:v>사전승인 필요(공개 허용 문구 없음)</x:v>
      </x:c>
      <x:c r="S18" s="14" t="str">
        <x:v>https://www.daegun21.net/content/68</x:v>
      </x:c>
    </x:row>
    <x:row r="19" ht="48" customHeight="1">
      <x:c r="A19" s="14" t="n">
        <x:v>18</x:v>
      </x:c>
      <x:c r="B19" s="14" t="str">
        <x:v>EXP-034</x:v>
      </x:c>
      <x:c r="C19" s="14" t="str">
        <x:v>S04</x:v>
      </x:c>
      <x:c r="D19" s="14" t="str">
        <x:v>에이앤티코리아(A&amp;T KOREA)</x:v>
      </x:c>
      <x:c r="E19" s="14" t="str">
        <x:v>영상 IoT·IP카메라</x:v>
      </x:c>
      <x:c r="F19" s="14" t="str">
        <x:v>info@antkr.com</x:v>
      </x:c>
      <x:c r="G19" s="14" t="str">
        <x:v>B</x:v>
      </x:c>
      <x:c r="H19" s="14" t="str">
        <x:v>032-270-6070 / 070-8252-5900</x:v>
      </x:c>
      <x:c r="I19" s="14" t="str">
        <x:v>대표메일+영업상담</x:v>
      </x:c>
      <x:c r="J19" s="14" t="n">
        <x:v>92</x:v>
      </x:c>
      <x:c r="K19" s="14" t="n">
        <x:v>62</x:v>
      </x:c>
      <x:c r="L19" s="14" t="n">
        <x:v>82</x:v>
      </x:c>
      <x:c r="M19" s="14" t="str">
        <x:v>보안장비 유통·도매·교육·컨설팅</x:v>
      </x:c>
      <x:c r="N19" s="14" t="str">
        <x:v>O(Distributor/Wholesaler 공개)</x:v>
      </x:c>
      <x:c r="O19" s="14" t="str">
        <x:v>문의 필요</x:v>
      </x:c>
      <x:c r="P19" s="14" t="str">
        <x:v>문의 필요</x:v>
      </x:c>
      <x:c r="Q19" s="14" t="str">
        <x:v>O(Aftercare 공개)</x:v>
      </x:c>
      <x:c r="R19" s="14" t="str">
        <x:v>사전승인 필요(공개 허용 문구 없음)</x:v>
      </x:c>
      <x:c r="S19" s="14" t="str">
        <x:v>https://www.antkr.com/</x:v>
      </x:c>
    </x:row>
    <x:row r="20" ht="48" customHeight="1">
      <x:c r="A20" s="14" t="n">
        <x:v>19</x:v>
      </x:c>
      <x:c r="B20" s="14" t="str">
        <x:v>EXP-038</x:v>
      </x:c>
      <x:c r="C20" s="14" t="str">
        <x:v>S04</x:v>
      </x:c>
      <x:c r="D20" s="14" t="str">
        <x:v>SG전자통신</x:v>
      </x:c>
      <x:c r="E20" s="14" t="str">
        <x:v>디지털도어락·출입</x:v>
      </x:c>
      <x:c r="F20" s="14" t="str">
        <x:v>sgelect77@daum.net</x:v>
      </x:c>
      <x:c r="G20" s="14" t="str">
        <x:v>B</x:v>
      </x:c>
      <x:c r="H20" s="14" t="str">
        <x:v>1577-7818</x:v>
      </x:c>
      <x:c r="I20" s="14" t="str">
        <x:v>대표메일+전화</x:v>
      </x:c>
      <x:c r="J20" s="14" t="n">
        <x:v>92</x:v>
      </x:c>
      <x:c r="K20" s="14" t="n">
        <x:v>62</x:v>
      </x:c>
      <x:c r="L20" s="14" t="n">
        <x:v>82</x:v>
      </x:c>
      <x:c r="M20" s="14" t="str">
        <x:v>전자통신/CCTV·출입 제조·서비스</x:v>
      </x:c>
      <x:c r="N20" s="14" t="str">
        <x:v>문의 필요</x:v>
      </x:c>
      <x:c r="O20" s="14" t="str">
        <x:v>문의 필요</x:v>
      </x:c>
      <x:c r="P20" s="14" t="str">
        <x:v>문의 필요</x:v>
      </x:c>
      <x:c r="Q20" s="14" t="str">
        <x:v>O(공동 A/S망 표방)</x:v>
      </x:c>
      <x:c r="R20" s="14" t="str">
        <x:v>사전승인 필요(공개 허용 문구 없음)</x:v>
      </x:c>
      <x:c r="S20" s="14" t="str">
        <x:v>https://sgelect.com/?page_id=965</x:v>
      </x:c>
    </x:row>
    <x:row r="21" ht="48" customHeight="1">
      <x:c r="A21" s="14" t="n">
        <x:v>20</x:v>
      </x:c>
      <x:c r="B21" s="14" t="str">
        <x:v>EXP-055</x:v>
      </x:c>
      <x:c r="C21" s="14" t="str">
        <x:v>S06</x:v>
      </x:c>
      <x:c r="D21" s="14" t="str">
        <x:v>네오워터</x:v>
      </x:c>
      <x:c r="E21" s="14" t="str">
        <x:v>수처리·개인주택 수영장</x:v>
      </x:c>
      <x:c r="F21" s="14" t="str">
        <x:v>contact@neowater.co.kr</x:v>
      </x:c>
      <x:c r="G21" s="14" t="str">
        <x:v>A</x:v>
      </x:c>
      <x:c r="H21" s="14" t="str">
        <x:v>031-767-7764</x:v>
      </x:c>
      <x:c r="I21" s="14" t="str">
        <x:v>대표메일+문의</x:v>
      </x:c>
      <x:c r="J21" s="14" t="n">
        <x:v>90</x:v>
      </x:c>
      <x:c r="K21" s="14" t="n">
        <x:v>56</x:v>
      </x:c>
      <x:c r="L21" s="14" t="n">
        <x:v>82</x:v>
      </x:c>
      <x:c r="M21" s="14" t="str">
        <x:v>수처리·설비</x:v>
      </x:c>
      <x:c r="N21" s="14" t="str">
        <x:v>문의 필요</x:v>
      </x:c>
      <x:c r="O21" s="14" t="str">
        <x:v>문의 필요</x:v>
      </x:c>
      <x:c r="P21" s="14" t="str">
        <x:v>문의 필요</x:v>
      </x:c>
      <x:c r="Q21" s="14" t="str">
        <x:v>문의 필요</x:v>
      </x:c>
      <x:c r="R21" s="14" t="str">
        <x:v>사전승인 필요(공개 허용 문구 없음)</x:v>
      </x:c>
      <x:c r="S21" s="14" t="str">
        <x:v>https://www.neowater.co.kr/27</x:v>
      </x:c>
    </x:row>
    <x:row r="22" ht="48" customHeight="1">
      <x:c r="A22" s="14" t="n">
        <x:v>21</x:v>
      </x:c>
      <x:c r="B22" s="14" t="str">
        <x:v>EXP-086</x:v>
      </x:c>
      <x:c r="C22" s="14" t="str">
        <x:v>S09</x:v>
      </x:c>
      <x:c r="D22" s="14" t="str">
        <x:v>벨츠에너지 / 헵시바</x:v>
      </x:c>
      <x:c r="E22" s="14" t="str">
        <x:v>태양광 시스템·소형에너지</x:v>
      </x:c>
      <x:c r="F22" s="14" t="str">
        <x:v>sales@windrex.com</x:v>
      </x:c>
      <x:c r="G22" s="14" t="str">
        <x:v>A</x:v>
      </x:c>
      <x:c r="H22" s="14" t="str">
        <x:v>공식 사이트 전화 확인 필요</x:v>
      </x:c>
      <x:c r="I22" s="14" t="str">
        <x:v>Sales</x:v>
      </x:c>
      <x:c r="J22" s="14" t="n">
        <x:v>93</x:v>
      </x:c>
      <x:c r="K22" s="14" t="n">
        <x:v>50</x:v>
      </x:c>
      <x:c r="L22" s="14" t="n">
        <x:v>82</x:v>
      </x:c>
      <x:c r="M22" s="14" t="str">
        <x:v>태양광 설계·제조·시공·사후관리</x:v>
      </x:c>
      <x:c r="N22" s="14" t="str">
        <x:v>문의 필요</x:v>
      </x:c>
      <x:c r="O22" s="14" t="str">
        <x:v>문의 필요</x:v>
      </x:c>
      <x:c r="P22" s="14" t="str">
        <x:v>주거/상업 설계·시공</x:v>
      </x:c>
      <x:c r="Q22" s="14" t="str">
        <x:v>O(사후관리 표방)</x:v>
      </x:c>
      <x:c r="R22" s="14" t="str">
        <x:v>사전승인 필요(공개 허용 문구 없음)</x:v>
      </x:c>
      <x:c r="S22" s="14" t="str">
        <x:v>https://www.windrex.co.kr/sub1_2.php</x:v>
      </x:c>
    </x:row>
    <x:row r="23" ht="48" customHeight="1">
      <x:c r="A23" s="14" t="n">
        <x:v>22</x:v>
      </x:c>
      <x:c r="B23" s="14" t="str">
        <x:v>EXP-012</x:v>
      </x:c>
      <x:c r="C23" s="14" t="str">
        <x:v>S02</x:v>
      </x:c>
      <x:c r="D23" s="14" t="str">
        <x:v>우진부스텍</x:v>
      </x:c>
      <x:c r="E23" s="14" t="str">
        <x:v>EV 충전기 캐노피</x:v>
      </x:c>
      <x:c r="F23" s="14" t="str">
        <x:v>wjbstec@naver.com</x:v>
      </x:c>
      <x:c r="G23" s="14" t="str">
        <x:v>B</x:v>
      </x:c>
      <x:c r="H23" s="14" t="str">
        <x:v>070-4117-4869</x:v>
      </x:c>
      <x:c r="I23" s="14" t="str">
        <x:v>대표메일+전화</x:v>
      </x:c>
      <x:c r="J23" s="14" t="n">
        <x:v>88</x:v>
      </x:c>
      <x:c r="K23" s="14" t="n">
        <x:v>66</x:v>
      </x:c>
      <x:c r="L23" s="14" t="n">
        <x:v>81</x:v>
      </x:c>
      <x:c r="M23" s="14" t="str">
        <x:v>맞춤제작·설치</x:v>
      </x:c>
      <x:c r="N23" s="14" t="str">
        <x:v>문의 필요</x:v>
      </x:c>
      <x:c r="O23" s="14" t="str">
        <x:v>문의 필요</x:v>
      </x:c>
      <x:c r="P23" s="14" t="str">
        <x:v>전국 맞춤 제작·설치 표방</x:v>
      </x:c>
      <x:c r="Q23" s="14" t="str">
        <x:v>문의 필요</x:v>
      </x:c>
      <x:c r="R23" s="14" t="str">
        <x:v>사전승인 필요(공개 허용 문구 없음)</x:v>
      </x:c>
      <x:c r="S23" s="14" t="str">
        <x:v>https://wjbstec.tistory.com/1196</x:v>
      </x:c>
    </x:row>
    <x:row r="24" ht="48" customHeight="1">
      <x:c r="A24" s="14" t="n">
        <x:v>23</x:v>
      </x:c>
      <x:c r="B24" s="14" t="str">
        <x:v>EXP-051</x:v>
      </x:c>
      <x:c r="C24" s="14" t="str">
        <x:v>S06</x:v>
      </x:c>
      <x:c r="D24" s="14" t="str">
        <x:v>스토라지박스</x:v>
      </x:c>
      <x:c r="E24" s="14" t="str">
        <x:v>모듈 수영장·자쿠지</x:v>
      </x:c>
      <x:c r="F24" s="14" t="str">
        <x:v>storagebox_house@naver.com</x:v>
      </x:c>
      <x:c r="G24" s="14" t="str">
        <x:v>A</x:v>
      </x:c>
      <x:c r="H24" s="14" t="str">
        <x:v>031-461-3766</x:v>
      </x:c>
      <x:c r="I24" s="14" t="str">
        <x:v>대표메일+상담</x:v>
      </x:c>
      <x:c r="J24" s="14" t="n">
        <x:v>94</x:v>
      </x:c>
      <x:c r="K24" s="14" t="n">
        <x:v>46</x:v>
      </x:c>
      <x:c r="L24" s="14" t="n">
        <x:v>81</x:v>
      </x:c>
      <x:c r="M24" s="14" t="str">
        <x:v>모듈풀 자체공장·설계·시공</x:v>
      </x:c>
      <x:c r="N24" s="14" t="str">
        <x:v>문의 필요</x:v>
      </x:c>
      <x:c r="O24" s="14" t="str">
        <x:v>문의 필요</x:v>
      </x:c>
      <x:c r="P24" s="14" t="str">
        <x:v>다수 단독주택/지역 프로젝트 확인, 전국 여부 문의</x:v>
      </x:c>
      <x:c r="Q24" s="14" t="str">
        <x:v>문의 필요</x:v>
      </x:c>
      <x:c r="R24" s="14" t="str">
        <x:v>사전승인 필요(공개 허용 문구 없음)</x:v>
      </x:c>
      <x:c r="S24" s="14" t="str">
        <x:v>https://storagebox.kr/</x:v>
      </x:c>
    </x:row>
    <x:row r="25" ht="48" customHeight="1">
      <x:c r="A25" s="14" t="n">
        <x:v>24</x:v>
      </x:c>
      <x:c r="B25" s="14" t="str">
        <x:v>EXP-057</x:v>
      </x:c>
      <x:c r="C25" s="14" t="str">
        <x:v>S06</x:v>
      </x:c>
      <x:c r="D25" s="14" t="str">
        <x:v>지오풀</x:v>
      </x:c>
      <x:c r="E25" s="14" t="str">
        <x:v>이동식·프레임 수영장·부품</x:v>
      </x:c>
      <x:c r="F25" s="14" t="str">
        <x:v>ZIO@ZIOPOOL.COM</x:v>
      </x:c>
      <x:c r="G25" s="14" t="str">
        <x:v>A</x:v>
      </x:c>
      <x:c r="H25" s="14" t="str">
        <x:v>1899-8051 / 043-644-8002</x:v>
      </x:c>
      <x:c r="I25" s="14" t="str">
        <x:v>대표메일+전화</x:v>
      </x:c>
      <x:c r="J25" s="14" t="n">
        <x:v>89</x:v>
      </x:c>
      <x:c r="K25" s="14" t="n">
        <x:v>52</x:v>
      </x:c>
      <x:c r="L25" s="14" t="n">
        <x:v>81</x:v>
      </x:c>
      <x:c r="M25" s="14" t="str">
        <x:v>이동식/프레임 풀 유통·시공</x:v>
      </x:c>
      <x:c r="N25" s="14" t="str">
        <x:v>문의 필요</x:v>
      </x:c>
      <x:c r="O25" s="14" t="str">
        <x:v>문의 필요</x:v>
      </x:c>
      <x:c r="P25" s="14" t="str">
        <x:v>문의 필요</x:v>
      </x:c>
      <x:c r="Q25" s="14" t="str">
        <x:v>문의 필요</x:v>
      </x:c>
      <x:c r="R25" s="14" t="str">
        <x:v>사전승인 필요(공개 허용 문구 없음)</x:v>
      </x:c>
      <x:c r="S25" s="14" t="str">
        <x:v>https://ziopool.cafe24.com/</x:v>
      </x:c>
    </x:row>
    <x:row r="26" ht="48" customHeight="1">
      <x:c r="A26" s="14" t="n">
        <x:v>25</x:v>
      </x:c>
      <x:c r="B26" s="14" t="str">
        <x:v>EXP-066</x:v>
      </x:c>
      <x:c r="C26" s="14" t="str">
        <x:v>S07</x:v>
      </x:c>
      <x:c r="D26" s="14" t="str">
        <x:v>계림조경자재</x:v>
      </x:c>
      <x:c r="E26" s="14" t="str">
        <x:v>조경·정원자재</x:v>
      </x:c>
      <x:c r="F26" s="14" t="str">
        <x:v>k7919226@hanmail.net</x:v>
      </x:c>
      <x:c r="G26" s="14" t="str">
        <x:v>A</x:v>
      </x:c>
      <x:c r="H26" s="14" t="str">
        <x:v>1899-9226 / 010-9979-9226</x:v>
      </x:c>
      <x:c r="I26" s="14" t="str">
        <x:v>견적/대표메일</x:v>
      </x:c>
      <x:c r="J26" s="14" t="n">
        <x:v>94</x:v>
      </x:c>
      <x:c r="K26" s="14" t="n">
        <x:v>46</x:v>
      </x:c>
      <x:c r="L26" s="14" t="n">
        <x:v>81</x:v>
      </x:c>
      <x:c r="M26" s="14" t="str">
        <x:v>조경·정원자재 개발·생산·판매</x:v>
      </x:c>
      <x:c r="N26" s="14" t="str">
        <x:v>문의 필요</x:v>
      </x:c>
      <x:c r="O26" s="14" t="str">
        <x:v>문의 필요(생산 공개)</x:v>
      </x:c>
      <x:c r="P26" s="14" t="str">
        <x:v>문의 필요</x:v>
      </x:c>
      <x:c r="Q26" s="14" t="str">
        <x:v>문의 필요</x:v>
      </x:c>
      <x:c r="R26" s="14" t="str">
        <x:v>사전승인 필요(공개 허용 문구 없음)</x:v>
      </x:c>
      <x:c r="S26" s="14" t="str">
        <x:v>https://ke-lim.com/bbs/content.php?co_id=company&amp;device=pc</x:v>
      </x:c>
    </x:row>
    <x:row r="27" ht="48" customHeight="1">
      <x:c r="A27" s="14" t="n">
        <x:v>26</x:v>
      </x:c>
      <x:c r="B27" s="14" t="str">
        <x:v>EXP-098</x:v>
      </x:c>
      <x:c r="C27" s="14" t="str">
        <x:v>S10</x:v>
      </x:c>
      <x:c r="D27" s="14" t="str">
        <x:v>디아이디</x:v>
      </x:c>
      <x:c r="E27" s="14" t="str">
        <x:v>놀이·퍼걸러·벤치</x:v>
      </x:c>
      <x:c r="F27" s="14" t="str">
        <x:v>didlsd@naver.com</x:v>
      </x:c>
      <x:c r="G27" s="14" t="str">
        <x:v>A</x:v>
      </x:c>
      <x:c r="H27" s="14" t="str">
        <x:v>031-868-2108</x:v>
      </x:c>
      <x:c r="I27" s="14" t="str">
        <x:v>견적/제품 문의</x:v>
      </x:c>
      <x:c r="J27" s="14" t="n">
        <x:v>92</x:v>
      </x:c>
      <x:c r="K27" s="14" t="n">
        <x:v>48</x:v>
      </x:c>
      <x:c r="L27" s="14" t="n">
        <x:v>81</x:v>
      </x:c>
      <x:c r="M27" s="14" t="str">
        <x:v>놀이·조경시설 설계·시공</x:v>
      </x:c>
      <x:c r="N27" s="14" t="str">
        <x:v>문의 필요</x:v>
      </x:c>
      <x:c r="O27" s="14" t="str">
        <x:v>문의 필요</x:v>
      </x:c>
      <x:c r="P27" s="14" t="str">
        <x:v>문의 필요</x:v>
      </x:c>
      <x:c r="Q27" s="14" t="str">
        <x:v>문의 필요</x:v>
      </x:c>
      <x:c r="R27" s="14" t="str">
        <x:v>사전승인 필요(공개 허용 문구 없음)</x:v>
      </x:c>
      <x:c r="S27" s="14" t="str">
        <x:v>https://www.didlsd.com/pages/history.php</x:v>
      </x:c>
    </x:row>
    <x:row r="28" ht="48" customHeight="1">
      <x:c r="A28" s="14" t="n">
        <x:v>27</x:v>
      </x:c>
      <x:c r="B28" s="14" t="str">
        <x:v>EXP-011</x:v>
      </x:c>
      <x:c r="C28" s="14" t="str">
        <x:v>S02</x:v>
      </x:c>
      <x:c r="D28" s="14" t="str">
        <x:v>캐노텍</x:v>
      </x:c>
      <x:c r="E28" s="14" t="str">
        <x:v>카포트·주차 캐노피</x:v>
      </x:c>
      <x:c r="F28" s="14" t="str">
        <x:v>canotec@naver.com</x:v>
      </x:c>
      <x:c r="G28" s="14" t="str">
        <x:v>A</x:v>
      </x:c>
      <x:c r="H28" s="14" t="str">
        <x:v>070-4117-4869</x:v>
      </x:c>
      <x:c r="I28" s="14" t="str">
        <x:v>대표메일+전화</x:v>
      </x:c>
      <x:c r="J28" s="14" t="n">
        <x:v>94</x:v>
      </x:c>
      <x:c r="K28" s="14" t="n">
        <x:v>44</x:v>
      </x:c>
      <x:c r="L28" s="14" t="n">
        <x:v>80</x:v>
      </x:c>
      <x:c r="M28" s="14" t="str">
        <x:v>설계·제작·설치</x:v>
      </x:c>
      <x:c r="N28" s="14" t="str">
        <x:v>문의 필요</x:v>
      </x:c>
      <x:c r="O28" s="14" t="str">
        <x:v>문의 필요</x:v>
      </x:c>
      <x:c r="P28" s="14" t="str">
        <x:v>전국 설치 표방</x:v>
      </x:c>
      <x:c r="Q28" s="14" t="str">
        <x:v>문의 필요</x:v>
      </x:c>
      <x:c r="R28" s="14" t="str">
        <x:v>사전승인 필요(공개 허용 문구 없음)</x:v>
      </x:c>
      <x:c r="S28" s="14" t="str">
        <x:v>https://canotec.co.kr/</x:v>
      </x:c>
    </x:row>
    <x:row r="29" ht="48" customHeight="1">
      <x:c r="A29" s="14" t="n">
        <x:v>28</x:v>
      </x:c>
      <x:c r="B29" s="14" t="str">
        <x:v>EXP-052</x:v>
      </x:c>
      <x:c r="C29" s="14" t="str">
        <x:v>S06</x:v>
      </x:c>
      <x:c r="D29" s="14" t="str">
        <x:v>신화아쿠아</x:v>
      </x:c>
      <x:c r="E29" s="14" t="str">
        <x:v>수영장·스파·사우나 수처리</x:v>
      </x:c>
      <x:c r="F29" s="14" t="str">
        <x:v>aqua@swaqua.com</x:v>
      </x:c>
      <x:c r="G29" s="14" t="str">
        <x:v>A</x:v>
      </x:c>
      <x:c r="H29" s="14" t="str">
        <x:v>02-444-1474</x:v>
      </x:c>
      <x:c r="I29" s="14" t="str">
        <x:v>견적/영업 문의</x:v>
      </x:c>
      <x:c r="J29" s="14" t="n">
        <x:v>96</x:v>
      </x:c>
      <x:c r="K29" s="14" t="n">
        <x:v>39</x:v>
      </x:c>
      <x:c r="L29" s="14" t="n">
        <x:v>80</x:v>
      </x:c>
      <x:c r="M29" s="14" t="str">
        <x:v>수영장·스파·사우나 수처리 설계·시공</x:v>
      </x:c>
      <x:c r="N29" s="14" t="str">
        <x:v>문의 필요</x:v>
      </x:c>
      <x:c r="O29" s="14" t="str">
        <x:v>문의 필요</x:v>
      </x:c>
      <x:c r="P29" s="14" t="str">
        <x:v>문의 필요</x:v>
      </x:c>
      <x:c r="Q29" s="14" t="str">
        <x:v>문의 필요</x:v>
      </x:c>
      <x:c r="R29" s="14" t="str">
        <x:v>사전승인 필요(공개 허용 문구 없음)</x:v>
      </x:c>
      <x:c r="S29" s="14" t="str">
        <x:v>https://www.swaqua.com/kr/company/summary.php</x:v>
      </x:c>
    </x:row>
    <x:row r="30" ht="48" customHeight="1">
      <x:c r="A30" s="14" t="n">
        <x:v>29</x:v>
      </x:c>
      <x:c r="B30" s="14" t="str">
        <x:v>EXP-067</x:v>
      </x:c>
      <x:c r="C30" s="14" t="str">
        <x:v>S07</x:v>
      </x:c>
      <x:c r="D30" s="14" t="str">
        <x:v>큐빅스(Qubics)</x:v>
      </x:c>
      <x:c r="E30" s="14" t="str">
        <x:v>스마트 자동관수</x:v>
      </x:c>
      <x:c r="F30" s="14" t="str">
        <x:v>info@qubics.kr</x:v>
      </x:c>
      <x:c r="G30" s="14" t="str">
        <x:v>B</x:v>
      </x:c>
      <x:c r="H30" s="14" t="str">
        <x:v>031-949-9255 / 070-8845-7778</x:v>
      </x:c>
      <x:c r="I30" s="14" t="str">
        <x:v>대표메일+Contact</x:v>
      </x:c>
      <x:c r="J30" s="14" t="n">
        <x:v>92</x:v>
      </x:c>
      <x:c r="K30" s="14" t="n">
        <x:v>56</x:v>
      </x:c>
      <x:c r="L30" s="14" t="n">
        <x:v>80</x:v>
      </x:c>
      <x:c r="M30" s="14" t="str">
        <x:v>IoT 자동관수 솔루션</x:v>
      </x:c>
      <x:c r="N30" s="14" t="str">
        <x:v>문의 필요</x:v>
      </x:c>
      <x:c r="O30" s="14" t="str">
        <x:v>문의 필요</x:v>
      </x:c>
      <x:c r="P30" s="14" t="str">
        <x:v>문의 필요</x:v>
      </x:c>
      <x:c r="Q30" s="14" t="str">
        <x:v>문의 필요</x:v>
      </x:c>
      <x:c r="R30" s="14" t="str">
        <x:v>사전승인 필요(공개 허용 문구 없음)</x:v>
      </x:c>
      <x:c r="S30" s="14" t="str">
        <x:v>https://www.qubics.kr/index.php/menu-iotsolution/auto-watering/</x:v>
      </x:c>
    </x:row>
    <x:row r="31" ht="48" customHeight="1">
      <x:c r="A31" s="14" t="n">
        <x:v>30</x:v>
      </x:c>
      <x:c r="B31" s="14" t="str">
        <x:v>EXP-003</x:v>
      </x:c>
      <x:c r="C31" s="14" t="str">
        <x:v>S01</x:v>
      </x:c>
      <x:c r="D31" s="14" t="str">
        <x:v>동일자동도어</x:v>
      </x:c>
      <x:c r="E31" s="14" t="str">
        <x:v>자동대문</x:v>
      </x:c>
      <x:c r="F31" s="14" t="str">
        <x:v>dongikjae@naver.com</x:v>
      </x:c>
      <x:c r="G31" s="14" t="str">
        <x:v>B</x:v>
      </x:c>
      <x:c r="H31" s="14" t="str">
        <x:v>02-2138-2128 / 공장 02-6221-6561</x:v>
      </x:c>
      <x:c r="I31" s="14" t="str">
        <x:v>대표메일+전화</x:v>
      </x:c>
      <x:c r="J31" s="14" t="n">
        <x:v>90</x:v>
      </x:c>
      <x:c r="K31" s="14" t="n">
        <x:v>54</x:v>
      </x:c>
      <x:c r="L31" s="14" t="n">
        <x:v>79</x:v>
      </x:c>
      <x:c r="M31" s="14" t="str">
        <x:v>제작·설치</x:v>
      </x:c>
      <x:c r="N31" s="14" t="str">
        <x:v>문의 필요</x:v>
      </x:c>
      <x:c r="O31" s="14" t="str">
        <x:v>문의 필요</x:v>
      </x:c>
      <x:c r="P31" s="14" t="str">
        <x:v>문의 필요</x:v>
      </x:c>
      <x:c r="Q31" s="14" t="str">
        <x:v>문의 필요</x:v>
      </x:c>
      <x:c r="R31" s="14" t="str">
        <x:v>사전승인 필요(공개 허용 문구 없음)</x:v>
      </x:c>
      <x:c r="S31" s="14" t="str">
        <x:v>https://www.dongildoor.co.kr/about-us</x:v>
      </x:c>
    </x:row>
    <x:row r="32" ht="48" customHeight="1">
      <x:c r="A32" s="14" t="n">
        <x:v>31</x:v>
      </x:c>
      <x:c r="B32" s="14" t="str">
        <x:v>EXP-014</x:v>
      </x:c>
      <x:c r="C32" s="14" t="str">
        <x:v>S02</x:v>
      </x:c>
      <x:c r="D32" s="14" t="str">
        <x:v>에너고</x:v>
      </x:c>
      <x:c r="E32" s="14" t="str">
        <x:v>EV 충전 설비</x:v>
      </x:c>
      <x:c r="F32" s="14" t="str">
        <x:v>tiger@energo.kr</x:v>
      </x:c>
      <x:c r="G32" s="14" t="str">
        <x:v>A</x:v>
      </x:c>
      <x:c r="H32" s="14" t="str">
        <x:v>010-6816-8660 / 1522-1390</x:v>
      </x:c>
      <x:c r="I32" s="14" t="str">
        <x:v>대표메일+전화</x:v>
      </x:c>
      <x:c r="J32" s="14" t="n">
        <x:v>90</x:v>
      </x:c>
      <x:c r="K32" s="14" t="n">
        <x:v>44</x:v>
      </x:c>
      <x:c r="L32" s="14" t="n">
        <x:v>79</x:v>
      </x:c>
      <x:c r="M32" s="14" t="str">
        <x:v>전기공사·충전기 설치·유지보수</x:v>
      </x:c>
      <x:c r="N32" s="14" t="str">
        <x:v>문의 필요</x:v>
      </x:c>
      <x:c r="O32" s="14" t="str">
        <x:v>문의 필요</x:v>
      </x:c>
      <x:c r="P32" s="14" t="str">
        <x:v>문의 필요</x:v>
      </x:c>
      <x:c r="Q32" s="14" t="str">
        <x:v>O(유지보수 공개)</x:v>
      </x:c>
      <x:c r="R32" s="14" t="str">
        <x:v>사전승인 필요(공개 허용 문구 없음)</x:v>
      </x:c>
      <x:c r="S32" s="14" t="str">
        <x:v>https://energo.kr/DCFastCharger</x:v>
      </x:c>
    </x:row>
    <x:row r="33" ht="48" customHeight="1">
      <x:c r="A33" s="14" t="n">
        <x:v>32</x:v>
      </x:c>
      <x:c r="B33" s="14" t="str">
        <x:v>EXP-032</x:v>
      </x:c>
      <x:c r="C33" s="14" t="str">
        <x:v>S04</x:v>
      </x:c>
      <x:c r="D33" s="14" t="str">
        <x:v>원우이엔지</x:v>
      </x:c>
      <x:c r="E33" s="14" t="str">
        <x:v>CCTV 카메라</x:v>
      </x:c>
      <x:c r="F33" s="14" t="str">
        <x:v>sales@wonwoo.com</x:v>
      </x:c>
      <x:c r="G33" s="14" t="str">
        <x:v>A</x:v>
      </x:c>
      <x:c r="H33" s="14" t="str">
        <x:v>02-3665-3200</x:v>
      </x:c>
      <x:c r="I33" s="14" t="str">
        <x:v>Sales</x:v>
      </x:c>
      <x:c r="J33" s="14" t="n">
        <x:v>97</x:v>
      </x:c>
      <x:c r="K33" s="14" t="n">
        <x:v>36</x:v>
      </x:c>
      <x:c r="L33" s="14" t="n">
        <x:v>79</x:v>
      </x:c>
      <x:c r="M33" s="14" t="str">
        <x:v>CCTV 카메라 제조·판매</x:v>
      </x:c>
      <x:c r="N33" s="14" t="str">
        <x:v>B2B 제조/판매</x:v>
      </x:c>
      <x:c r="O33" s="14" t="str">
        <x:v>문의 필요</x:v>
      </x:c>
      <x:c r="P33" s="14" t="str">
        <x:v>문의 필요</x:v>
      </x:c>
      <x:c r="Q33" s="14" t="str">
        <x:v>문의 필요</x:v>
      </x:c>
      <x:c r="R33" s="14" t="str">
        <x:v>사전승인 필요(공개 허용 문구 없음)</x:v>
      </x:c>
      <x:c r="S33" s="14" t="str">
        <x:v>https://www.wonwoo.com/</x:v>
      </x:c>
    </x:row>
    <x:row r="34" ht="48" customHeight="1">
      <x:c r="A34" s="14" t="n">
        <x:v>33</x:v>
      </x:c>
      <x:c r="B34" s="14" t="str">
        <x:v>EXP-048</x:v>
      </x:c>
      <x:c r="C34" s="14" t="str">
        <x:v>S05</x:v>
      </x:c>
      <x:c r="D34" s="14" t="str">
        <x:v>메이플우드</x:v>
      </x:c>
      <x:c r="E34" s="14" t="str">
        <x:v>합성데크·사이딩·펜스</x:v>
      </x:c>
      <x:c r="F34" s="14" t="str">
        <x:v>maplewood24@nate.com</x:v>
      </x:c>
      <x:c r="G34" s="14" t="str">
        <x:v>B</x:v>
      </x:c>
      <x:c r="H34" s="14" t="str">
        <x:v>031-8047-5001 / 010-4338-8250</x:v>
      </x:c>
      <x:c r="I34" s="14" t="str">
        <x:v>대표메일+전화</x:v>
      </x:c>
      <x:c r="J34" s="14" t="n">
        <x:v>91</x:v>
      </x:c>
      <x:c r="K34" s="14" t="n">
        <x:v>54</x:v>
      </x:c>
      <x:c r="L34" s="14" t="n">
        <x:v>79</x:v>
      </x:c>
      <x:c r="M34" s="14" t="str">
        <x:v>합성목재 자재·유통</x:v>
      </x:c>
      <x:c r="N34" s="14" t="str">
        <x:v>문의 필요</x:v>
      </x:c>
      <x:c r="O34" s="14" t="str">
        <x:v>문의 필요</x:v>
      </x:c>
      <x:c r="P34" s="14" t="str">
        <x:v>문의 필요</x:v>
      </x:c>
      <x:c r="Q34" s="14" t="str">
        <x:v>문의 필요</x:v>
      </x:c>
      <x:c r="R34" s="14" t="str">
        <x:v>사전승인 필요(공개 허용 문구 없음)</x:v>
      </x:c>
      <x:c r="S34" s="14" t="str">
        <x:v>https://maplewood.co.kr/</x:v>
      </x:c>
    </x:row>
    <x:row r="35" ht="48" customHeight="1">
      <x:c r="A35" s="14" t="n">
        <x:v>34</x:v>
      </x:c>
      <x:c r="B35" s="14" t="str">
        <x:v>EXP-054</x:v>
      </x:c>
      <x:c r="C35" s="14" t="str">
        <x:v>S06</x:v>
      </x:c>
      <x:c r="D35" s="14" t="str">
        <x:v>SPA International</x:v>
      </x:c>
      <x:c r="E35" s="14" t="str">
        <x:v>수영장·스파·사우나 장비</x:v>
      </x:c>
      <x:c r="F35" s="14" t="str">
        <x:v>jtjang12@naver.com</x:v>
      </x:c>
      <x:c r="G35" s="14" t="str">
        <x:v>A</x:v>
      </x:c>
      <x:c r="H35" s="14" t="str">
        <x:v>031-558-0358</x:v>
      </x:c>
      <x:c r="I35" s="14" t="str">
        <x:v>대표메일+전화</x:v>
      </x:c>
      <x:c r="J35" s="14" t="n">
        <x:v>93</x:v>
      </x:c>
      <x:c r="K35" s="14" t="n">
        <x:v>42</x:v>
      </x:c>
      <x:c r="L35" s="14" t="n">
        <x:v>79</x:v>
      </x:c>
      <x:c r="M35" s="14" t="str">
        <x:v>Pool/Spa/Sauna 장비 수입·유통·시공</x:v>
      </x:c>
      <x:c r="N35" s="14" t="str">
        <x:v>에이전트/수입·유통 사업 공개</x:v>
      </x:c>
      <x:c r="O35" s="14" t="str">
        <x:v>문의 필요</x:v>
      </x:c>
      <x:c r="P35" s="14" t="str">
        <x:v>문의 필요</x:v>
      </x:c>
      <x:c r="Q35" s="14" t="str">
        <x:v>문의 필요</x:v>
      </x:c>
      <x:c r="R35" s="14" t="str">
        <x:v>사전승인 필수(사이트 자료 무단도용/표절 법적책임 고지)</x:v>
      </x:c>
      <x:c r="S35" s="14" t="str">
        <x:v>https://sspa.co.kr/corporation-info/</x:v>
      </x:c>
    </x:row>
    <x:row r="36" ht="48" customHeight="1">
      <x:c r="A36" s="14" t="n">
        <x:v>35</x:v>
      </x:c>
      <x:c r="B36" s="14" t="str">
        <x:v>EXP-056</x:v>
      </x:c>
      <x:c r="C36" s="14" t="str">
        <x:v>S06</x:v>
      </x:c>
      <x:c r="D36" s="14" t="str">
        <x:v>범우티엔씨</x:v>
      </x:c>
      <x:c r="E36" s="14" t="str">
        <x:v>수영장 설비·시공</x:v>
      </x:c>
      <x:c r="F36" s="14" t="str">
        <x:v>pyc7000@nate.com</x:v>
      </x:c>
      <x:c r="G36" s="14" t="str">
        <x:v>B</x:v>
      </x:c>
      <x:c r="H36" s="14" t="str">
        <x:v>031-812-7000</x:v>
      </x:c>
      <x:c r="I36" s="14" t="str">
        <x:v>대표메일+전화</x:v>
      </x:c>
      <x:c r="J36" s="14" t="n">
        <x:v>95</x:v>
      </x:c>
      <x:c r="K36" s="14" t="n">
        <x:v>48</x:v>
      </x:c>
      <x:c r="L36" s="14" t="n">
        <x:v>79</x:v>
      </x:c>
      <x:c r="M36" s="14" t="str">
        <x:v>수영장 전문시공</x:v>
      </x:c>
      <x:c r="N36" s="14" t="str">
        <x:v>문의 필요</x:v>
      </x:c>
      <x:c r="O36" s="14" t="str">
        <x:v>문의 필요</x:v>
      </x:c>
      <x:c r="P36" s="14" t="str">
        <x:v>문의 필요</x:v>
      </x:c>
      <x:c r="Q36" s="14" t="str">
        <x:v>문의 필요</x:v>
      </x:c>
      <x:c r="R36" s="14" t="str">
        <x:v>사전승인 필요(공개 허용 문구 없음)</x:v>
      </x:c>
      <x:c r="S36" s="14" t="str">
        <x:v>https://www.ebumwoo.co.kr/</x:v>
      </x:c>
    </x:row>
    <x:row r="37" ht="48" customHeight="1">
      <x:c r="A37" s="14" t="n">
        <x:v>36</x:v>
      </x:c>
      <x:c r="B37" s="14" t="str">
        <x:v>EXP-061</x:v>
      </x:c>
      <x:c r="C37" s="14" t="str">
        <x:v>S07</x:v>
      </x:c>
      <x:c r="D37" s="14" t="str">
        <x:v>주목씨지알</x:v>
      </x:c>
      <x:c r="E37" s="14" t="str">
        <x:v>인조잔디</x:v>
      </x:c>
      <x:c r="F37" s="14" t="str">
        <x:v>jmcgr@naver.com</x:v>
      </x:c>
      <x:c r="G37" s="14" t="str">
        <x:v>A</x:v>
      </x:c>
      <x:c r="H37" s="14" t="str">
        <x:v>1644-3663</x:v>
      </x:c>
      <x:c r="I37" s="14" t="str">
        <x:v>대표메일+전화</x:v>
      </x:c>
      <x:c r="J37" s="14" t="n">
        <x:v>97</x:v>
      </x:c>
      <x:c r="K37" s="14" t="n">
        <x:v>36</x:v>
      </x:c>
      <x:c r="L37" s="14" t="n">
        <x:v>79</x:v>
      </x:c>
      <x:c r="M37" s="14" t="str">
        <x:v>인조잔디 직접제조·시공</x:v>
      </x:c>
      <x:c r="N37" s="14" t="str">
        <x:v>문의 필요(직접제조)</x:v>
      </x:c>
      <x:c r="O37" s="14" t="str">
        <x:v>문의 필요</x:v>
      </x:c>
      <x:c r="P37" s="14" t="str">
        <x:v>문의 필요</x:v>
      </x:c>
      <x:c r="Q37" s="14" t="str">
        <x:v>문의 필요</x:v>
      </x:c>
      <x:c r="R37" s="14" t="str">
        <x:v>사전승인 필요(공개 허용 문구 없음)</x:v>
      </x:c>
      <x:c r="S37" s="14" t="str">
        <x:v>https://jmcgr.co.kr/84</x:v>
      </x:c>
    </x:row>
    <x:row r="38" ht="48" customHeight="1">
      <x:c r="A38" s="14" t="n">
        <x:v>37</x:v>
      </x:c>
      <x:c r="B38" s="14" t="str">
        <x:v>EXP-072</x:v>
      </x:c>
      <x:c r="C38" s="14" t="str">
        <x:v>S08</x:v>
      </x:c>
      <x:c r="D38" s="14" t="str">
        <x:v>스팀지니</x:v>
      </x:c>
      <x:c r="E38" s="14" t="str">
        <x:v>산업용 스팀청소장비</x:v>
      </x:c>
      <x:c r="F38" s="14" t="str">
        <x:v>master@steamgenie.co.kr</x:v>
      </x:c>
      <x:c r="G38" s="14" t="str">
        <x:v>B</x:v>
      </x:c>
      <x:c r="H38" s="14" t="str">
        <x:v>1588-2719</x:v>
      </x:c>
      <x:c r="I38" s="14" t="str">
        <x:v>영업팀</x:v>
      </x:c>
      <x:c r="J38" s="14" t="n">
        <x:v>90</x:v>
      </x:c>
      <x:c r="K38" s="14" t="n">
        <x:v>56</x:v>
      </x:c>
      <x:c r="L38" s="14" t="n">
        <x:v>79</x:v>
      </x:c>
      <x:c r="M38" s="14" t="str">
        <x:v>해외 스팀장비 수입·국내공급</x:v>
      </x:c>
      <x:c r="N38" s="14" t="str">
        <x:v>B2B 영업문의</x:v>
      </x:c>
      <x:c r="O38" s="14" t="str">
        <x:v>문의 필요</x:v>
      </x:c>
      <x:c r="P38" s="14" t="str">
        <x:v>문의 필요</x:v>
      </x:c>
      <x:c r="Q38" s="14" t="str">
        <x:v>문의 필요</x:v>
      </x:c>
      <x:c r="R38" s="14" t="str">
        <x:v>사전승인 필요(공개 허용 문구 없음)</x:v>
      </x:c>
      <x:c r="S38" s="14" t="str">
        <x:v>https://steamgenie.co.kr/</x:v>
      </x:c>
    </x:row>
    <x:row r="39" ht="48" customHeight="1">
      <x:c r="A39" s="14" t="n">
        <x:v>38</x:v>
      </x:c>
      <x:c r="B39" s="14" t="str">
        <x:v>EXP-092</x:v>
      </x:c>
      <x:c r="C39" s="14" t="str">
        <x:v>S10</x:v>
      </x:c>
      <x:c r="D39" s="14" t="str">
        <x:v>한국공원체육산업</x:v>
      </x:c>
      <x:c r="E39" s="14" t="str">
        <x:v>놀이·체육시설·탄성포장</x:v>
      </x:c>
      <x:c r="F39" s="14" t="str">
        <x:v>krpark8272@naver.com</x:v>
      </x:c>
      <x:c r="G39" s="14" t="str">
        <x:v>A</x:v>
      </x:c>
      <x:c r="H39" s="14" t="str">
        <x:v>032-322-8272</x:v>
      </x:c>
      <x:c r="I39" s="14" t="str">
        <x:v>견적요청/설계자료요청</x:v>
      </x:c>
      <x:c r="J39" s="14" t="n">
        <x:v>94</x:v>
      </x:c>
      <x:c r="K39" s="14" t="n">
        <x:v>38</x:v>
      </x:c>
      <x:c r="L39" s="14" t="n">
        <x:v>79</x:v>
      </x:c>
      <x:c r="M39" s="14" t="str">
        <x:v>놀이·체육시설 제조·시공</x:v>
      </x:c>
      <x:c r="N39" s="14" t="str">
        <x:v>문의 필요</x:v>
      </x:c>
      <x:c r="O39" s="14" t="str">
        <x:v>문의 필요</x:v>
      </x:c>
      <x:c r="P39" s="14" t="str">
        <x:v>문의 필요</x:v>
      </x:c>
      <x:c r="Q39" s="14" t="str">
        <x:v>O(A/S 메뉴/지원)</x:v>
      </x:c>
      <x:c r="R39" s="14" t="str">
        <x:v>사전승인 필요(공개 허용 문구 없음)</x:v>
      </x:c>
      <x:c r="S39" s="14" t="str">
        <x:v>https://www.krpark.co.kr/</x:v>
      </x:c>
    </x:row>
    <x:row r="40" ht="48" customHeight="1">
      <x:c r="A40" s="14" t="n">
        <x:v>39</x:v>
      </x:c>
      <x:c r="B40" s="14" t="str">
        <x:v>EXP-046</x:v>
      </x:c>
      <x:c r="C40" s="14" t="str">
        <x:v>S05</x:v>
      </x:c>
      <x:c r="D40" s="14" t="str">
        <x:v>경동산업 / 예스팀바</x:v>
      </x:c>
      <x:c r="E40" s="14" t="str">
        <x:v>합성목재·데크·펜스</x:v>
      </x:c>
      <x:c r="F40" s="14" t="str">
        <x:v>kdpvc@hanmail.net</x:v>
      </x:c>
      <x:c r="G40" s="14" t="str">
        <x:v>A</x:v>
      </x:c>
      <x:c r="H40" s="14" t="str">
        <x:v>1660-3755</x:v>
      </x:c>
      <x:c r="I40" s="14" t="str">
        <x:v>대표메일+전화</x:v>
      </x:c>
      <x:c r="J40" s="14" t="n">
        <x:v>97</x:v>
      </x:c>
      <x:c r="K40" s="14" t="n">
        <x:v>32</x:v>
      </x:c>
      <x:c r="L40" s="14" t="n">
        <x:v>78</x:v>
      </x:c>
      <x:c r="M40" s="14" t="str">
        <x:v>WPC 합성목재 직접제조</x:v>
      </x:c>
      <x:c r="N40" s="14" t="str">
        <x:v>B2B 공급 문의 가치 높음</x:v>
      </x:c>
      <x:c r="O40" s="14" t="str">
        <x:v>문의 필요(직접제조)</x:v>
      </x:c>
      <x:c r="P40" s="14" t="str">
        <x:v>문의 필요</x:v>
      </x:c>
      <x:c r="Q40" s="14" t="str">
        <x:v>문의 필요</x:v>
      </x:c>
      <x:c r="R40" s="14" t="str">
        <x:v>사전승인 필요(공개 허용 문구 없음)</x:v>
      </x:c>
      <x:c r="S40" s="14" t="str">
        <x:v>https://yestimber.com/</x:v>
      </x:c>
    </x:row>
    <x:row r="41" ht="48" customHeight="1">
      <x:c r="A41" s="14" t="n">
        <x:v>40</x:v>
      </x:c>
      <x:c r="B41" s="14" t="str">
        <x:v>EXP-020</x:v>
      </x:c>
      <x:c r="C41" s="14" t="str">
        <x:v>S02</x:v>
      </x:c>
      <x:c r="D41" s="14" t="str">
        <x:v>제이엔코(JENCO)</x:v>
      </x:c>
      <x:c r="E41" s="14" t="str">
        <x:v>태양광 주차장·EV 연계</x:v>
      </x:c>
      <x:c r="F41" s="14" t="str">
        <x:v>jgm@jenco.co.kr</x:v>
      </x:c>
      <x:c r="G41" s="14" t="str">
        <x:v>A</x:v>
      </x:c>
      <x:c r="H41" s="14" t="str">
        <x:v>1577-1264 / 055-337-1651</x:v>
      </x:c>
      <x:c r="I41" s="14" t="str">
        <x:v>견적/자료 대표메일</x:v>
      </x:c>
      <x:c r="J41" s="14" t="n">
        <x:v>92</x:v>
      </x:c>
      <x:c r="K41" s="14" t="n">
        <x:v>36</x:v>
      </x:c>
      <x:c r="L41" s="14" t="n">
        <x:v>77</x:v>
      </x:c>
      <x:c r="M41" s="14" t="str">
        <x:v>태양광 구조물 제작·설치</x:v>
      </x:c>
      <x:c r="N41" s="14" t="str">
        <x:v>문의 필요</x:v>
      </x:c>
      <x:c r="O41" s="14" t="str">
        <x:v>문의 필요</x:v>
      </x:c>
      <x:c r="P41" s="14" t="str">
        <x:v>전국 프로젝트형</x:v>
      </x:c>
      <x:c r="Q41" s="14" t="str">
        <x:v>문의 필요</x:v>
      </x:c>
      <x:c r="R41" s="14" t="str">
        <x:v>사전승인 필요(공개 허용 문구 없음)</x:v>
      </x:c>
      <x:c r="S41" s="14" t="str">
        <x:v>https://jenco.co.kr/parking</x:v>
      </x:c>
    </x:row>
    <x:row r="42" ht="48" customHeight="1">
      <x:c r="A42" s="14" t="n">
        <x:v>41</x:v>
      </x:c>
      <x:c r="B42" s="14" t="str">
        <x:v>EXP-026</x:v>
      </x:c>
      <x:c r="C42" s="14" t="str">
        <x:v>S03</x:v>
      </x:c>
      <x:c r="D42" s="14" t="str">
        <x:v>오토코리아(OTTO KOREA)</x:v>
      </x:c>
      <x:c r="E42" s="14" t="str">
        <x:v>분리수거·폐기물 보관용기</x:v>
      </x:c>
      <x:c r="F42" s="14" t="str">
        <x:v>sales@ottokorea.com</x:v>
      </x:c>
      <x:c r="G42" s="14" t="str">
        <x:v>A</x:v>
      </x:c>
      <x:c r="H42" s="14" t="str">
        <x:v>031-989-4466</x:v>
      </x:c>
      <x:c r="I42" s="14" t="str">
        <x:v>영업메일</x:v>
      </x:c>
      <x:c r="J42" s="14" t="n">
        <x:v>92</x:v>
      </x:c>
      <x:c r="K42" s="14" t="n">
        <x:v>36</x:v>
      </x:c>
      <x:c r="L42" s="14" t="n">
        <x:v>77</x:v>
      </x:c>
      <x:c r="M42" s="14" t="str">
        <x:v>폐기물/재활용 용기 제조·공급</x:v>
      </x:c>
      <x:c r="N42" s="14" t="str">
        <x:v>B2B 공급형 공개</x:v>
      </x:c>
      <x:c r="O42" s="14" t="str">
        <x:v>문의 필요</x:v>
      </x:c>
      <x:c r="P42" s="14" t="str">
        <x:v>문의 필요</x:v>
      </x:c>
      <x:c r="Q42" s="14" t="str">
        <x:v>문의 필요</x:v>
      </x:c>
      <x:c r="R42" s="14" t="str">
        <x:v>사전승인 필요(공개 허용 문구 없음)</x:v>
      </x:c>
      <x:c r="S42" s="14" t="str">
        <x:v>https://ottokorea.com/our_business</x:v>
      </x:c>
    </x:row>
    <x:row r="43" ht="48" customHeight="1">
      <x:c r="A43" s="14" t="n">
        <x:v>42</x:v>
      </x:c>
      <x:c r="B43" s="14" t="str">
        <x:v>EXP-041</x:v>
      </x:c>
      <x:c r="C43" s="14" t="str">
        <x:v>S05</x:v>
      </x:c>
      <x:c r="D43" s="14" t="str">
        <x:v>오스카프로덕트</x:v>
      </x:c>
      <x:c r="E43" s="14" t="str">
        <x:v>시스템퍼골라</x:v>
      </x:c>
      <x:c r="F43" s="14" t="str">
        <x:v>office@oska.co.kr</x:v>
      </x:c>
      <x:c r="G43" s="14" t="str">
        <x:v>A</x:v>
      </x:c>
      <x:c r="H43" s="14" t="str">
        <x:v>1800-5945</x:v>
      </x:c>
      <x:c r="I43" s="14" t="str">
        <x:v>대표메일+Partnership</x:v>
      </x:c>
      <x:c r="J43" s="14" t="n">
        <x:v>95</x:v>
      </x:c>
      <x:c r="K43" s="14" t="n">
        <x:v>30</x:v>
      </x:c>
      <x:c r="L43" s="14" t="n">
        <x:v>77</x:v>
      </x:c>
      <x:c r="M43" s="14" t="str">
        <x:v>시스템퍼골라 제조·시공</x:v>
      </x:c>
      <x:c r="N43" s="14" t="str">
        <x:v>협력사/Partnership 공개</x:v>
      </x:c>
      <x:c r="O43" s="14" t="str">
        <x:v>문의 필요</x:v>
      </x:c>
      <x:c r="P43" s="14" t="str">
        <x:v>전국 시공 표방</x:v>
      </x:c>
      <x:c r="Q43" s="14" t="str">
        <x:v>문의 필요</x:v>
      </x:c>
      <x:c r="R43" s="14" t="str">
        <x:v>사전승인 필요(공개 허용 문구 없음)</x:v>
      </x:c>
      <x:c r="S43" s="14" t="str">
        <x:v>https://oska.co.kr/</x:v>
      </x:c>
    </x:row>
    <x:row r="44" ht="48" customHeight="1">
      <x:c r="A44" s="14" t="n">
        <x:v>43</x:v>
      </x:c>
      <x:c r="B44" s="14" t="str">
        <x:v>EXP-045</x:v>
      </x:c>
      <x:c r="C44" s="14" t="str">
        <x:v>S05</x:v>
      </x:c>
      <x:c r="D44" s="14" t="str">
        <x:v>우드24</x:v>
      </x:c>
      <x:c r="E44" s="14" t="str">
        <x:v>데크·퍼골라·목재</x:v>
      </x:c>
      <x:c r="F44" s="14" t="str">
        <x:v>wood-24@naver.com</x:v>
      </x:c>
      <x:c r="G44" s="14" t="str">
        <x:v>A</x:v>
      </x:c>
      <x:c r="H44" s="14" t="str">
        <x:v>1644-6472 / 010-3136-6472</x:v>
      </x:c>
      <x:c r="I44" s="14" t="str">
        <x:v>대표메일+전화</x:v>
      </x:c>
      <x:c r="J44" s="14" t="n">
        <x:v>94</x:v>
      </x:c>
      <x:c r="K44" s="14" t="n">
        <x:v>28</x:v>
      </x:c>
      <x:c r="L44" s="14" t="n">
        <x:v>76</x:v>
      </x:c>
      <x:c r="M44" s="14" t="str">
        <x:v>목재/데크 자재 공급·시공</x:v>
      </x:c>
      <x:c r="N44" s="14" t="str">
        <x:v>업체 납품 공개</x:v>
      </x:c>
      <x:c r="O44" s="14" t="str">
        <x:v>문의 필요</x:v>
      </x:c>
      <x:c r="P44" s="14" t="str">
        <x:v>전국 공급/시공 사례</x:v>
      </x:c>
      <x:c r="Q44" s="14" t="str">
        <x:v>문의 필요</x:v>
      </x:c>
      <x:c r="R44" s="14" t="str">
        <x:v>사전승인 필요(공개 허용 문구 없음)</x:v>
      </x:c>
      <x:c r="S44" s="14" t="str">
        <x:v>https://wood24.kr/case</x:v>
      </x:c>
    </x:row>
    <x:row r="45" ht="48" customHeight="1">
      <x:c r="A45" s="14" t="n">
        <x:v>44</x:v>
      </x:c>
      <x:c r="B45" s="14" t="str">
        <x:v>EXP-063</x:v>
      </x:c>
      <x:c r="C45" s="14" t="str">
        <x:v>S07</x:v>
      </x:c>
      <x:c r="D45" s="14" t="str">
        <x:v>가든라이프</x:v>
      </x:c>
      <x:c r="E45" s="14" t="str">
        <x:v>관수·조경자재</x:v>
      </x:c>
      <x:c r="F45" s="14" t="str">
        <x:v>wangco@wangco.co.kr</x:v>
      </x:c>
      <x:c r="G45" s="14" t="str">
        <x:v>A</x:v>
      </x:c>
      <x:c r="H45" s="14" t="str">
        <x:v>02-579-5083 / 010-5212-3846</x:v>
      </x:c>
      <x:c r="I45" s="14" t="str">
        <x:v>B2B/대량구매 문의</x:v>
      </x:c>
      <x:c r="J45" s="14" t="n">
        <x:v>91</x:v>
      </x:c>
      <x:c r="K45" s="14" t="n">
        <x:v>32</x:v>
      </x:c>
      <x:c r="L45" s="14" t="n">
        <x:v>76</x:v>
      </x:c>
      <x:c r="M45" s="14" t="str">
        <x:v>관수·조경자재 전문유통</x:v>
      </x:c>
      <x:c r="N45" s="14" t="str">
        <x:v>O(도매/대량구입 문의 환영 공개)</x:v>
      </x:c>
      <x:c r="O45" s="14" t="str">
        <x:v>문의 필요</x:v>
      </x:c>
      <x:c r="P45" s="14" t="str">
        <x:v>문의 필요</x:v>
      </x:c>
      <x:c r="Q45" s="14" t="str">
        <x:v>문의 필요</x:v>
      </x:c>
      <x:c r="R45" s="14" t="str">
        <x:v>사전승인 필요(공개 허용 문구 없음)</x:v>
      </x:c>
      <x:c r="S45" s="14" t="str">
        <x:v>https://www.gardenlife.kr/service/company.php</x:v>
      </x:c>
    </x:row>
    <x:row r="46" ht="48" customHeight="1">
      <x:c r="A46" s="14" t="n">
        <x:v>45</x:v>
      </x:c>
      <x:c r="B46" s="14" t="str">
        <x:v>EXP-013</x:v>
      </x:c>
      <x:c r="C46" s="14" t="str">
        <x:v>S02</x:v>
      </x:c>
      <x:c r="D46" s="14" t="str">
        <x:v>한국EV충전서비스센터</x:v>
      </x:c>
      <x:c r="E46" s="14" t="str">
        <x:v>전기차 충전기 설치·유지보수</x:v>
      </x:c>
      <x:c r="F46" s="14" t="str">
        <x:v>jslee@evsvc.co.kr</x:v>
      </x:c>
      <x:c r="G46" s="14" t="str">
        <x:v>A</x:v>
      </x:c>
      <x:c r="H46" s="14" t="str">
        <x:v>1600-2213</x:v>
      </x:c>
      <x:c r="I46" s="14" t="str">
        <x:v>대표메일+고객센터</x:v>
      </x:c>
      <x:c r="J46" s="14" t="n">
        <x:v>91</x:v>
      </x:c>
      <x:c r="K46" s="14" t="n">
        <x:v>26</x:v>
      </x:c>
      <x:c r="L46" s="14" t="n">
        <x:v>74</x:v>
      </x:c>
      <x:c r="M46" s="14" t="str">
        <x:v>충전기 설치·유지보수</x:v>
      </x:c>
      <x:c r="N46" s="14" t="str">
        <x:v>문의 필요</x:v>
      </x:c>
      <x:c r="O46" s="14" t="str">
        <x:v>문의 필요</x:v>
      </x:c>
      <x:c r="P46" s="14" t="str">
        <x:v>전국 유지보수/설치망</x:v>
      </x:c>
      <x:c r="Q46" s="14" t="str">
        <x:v>O(설치·유지보수)</x:v>
      </x:c>
      <x:c r="R46" s="14" t="str">
        <x:v>사전승인 필요(공개 허용 문구 없음)</x:v>
      </x:c>
      <x:c r="S46" s="14" t="str">
        <x:v>https://evsvc.co.kr/</x:v>
      </x:c>
    </x:row>
    <x:row r="47" ht="48" customHeight="1">
      <x:c r="A47" s="14" t="n">
        <x:v>46</x:v>
      </x:c>
      <x:c r="B47" s="14" t="str">
        <x:v>EXP-065</x:v>
      </x:c>
      <x:c r="C47" s="14" t="str">
        <x:v>S07</x:v>
      </x:c>
      <x:c r="D47" s="14" t="str">
        <x:v>미성종합자재</x:v>
      </x:c>
      <x:c r="E47" s="14" t="str">
        <x:v>조경·정원·관수자재</x:v>
      </x:c>
      <x:c r="F47" s="14" t="str">
        <x:v>emija@hanmail.net</x:v>
      </x:c>
      <x:c r="G47" s="14" t="str">
        <x:v>A</x:v>
      </x:c>
      <x:c r="H47" s="14" t="str">
        <x:v>1566-5406</x:v>
      </x:c>
      <x:c r="I47" s="14" t="str">
        <x:v>고객센터+대표메일</x:v>
      </x:c>
      <x:c r="J47" s="14" t="n">
        <x:v>94</x:v>
      </x:c>
      <x:c r="K47" s="14" t="n">
        <x:v>22</x:v>
      </x:c>
      <x:c r="L47" s="14" t="n">
        <x:v>74</x:v>
      </x:c>
      <x:c r="M47" s="14" t="str">
        <x:v>조경·정원자재 전문유통</x:v>
      </x:c>
      <x:c r="N47" s="14" t="str">
        <x:v>문의 필요</x:v>
      </x:c>
      <x:c r="O47" s="14" t="str">
        <x:v>문의 필요</x:v>
      </x:c>
      <x:c r="P47" s="14" t="str">
        <x:v>문의 필요</x:v>
      </x:c>
      <x:c r="Q47" s="14" t="str">
        <x:v>문의 필요</x:v>
      </x:c>
      <x:c r="R47" s="14" t="str">
        <x:v>사전승인 필요(공개 허용 문구 없음)</x:v>
      </x:c>
      <x:c r="S47" s="14" t="str">
        <x:v>https://emija.com/</x:v>
      </x:c>
    </x:row>
    <x:row r="48" ht="48" customHeight="1">
      <x:c r="A48" s="14" t="n">
        <x:v>47</x:v>
      </x:c>
      <x:c r="B48" s="14" t="str">
        <x:v>EXP-047</x:v>
      </x:c>
      <x:c r="C48" s="14" t="str">
        <x:v>S05</x:v>
      </x:c>
      <x:c r="D48" s="14" t="str">
        <x:v>오스토(OSTO)</x:v>
      </x:c>
      <x:c r="E48" s="14" t="str">
        <x:v>B2B 야외가구</x:v>
      </x:c>
      <x:c r="F48" s="14" t="str">
        <x:v>info@osto.co.kr</x:v>
      </x:c>
      <x:c r="G48" s="14" t="str">
        <x:v>B</x:v>
      </x:c>
      <x:c r="H48" s="14" t="str">
        <x:v>031-8027-6723</x:v>
      </x:c>
      <x:c r="I48" s="14" t="str">
        <x:v>온라인사업부 / 담당자 권병호</x:v>
      </x:c>
      <x:c r="J48" s="14" t="n">
        <x:v>90</x:v>
      </x:c>
      <x:c r="K48" s="14" t="n">
        <x:v>32</x:v>
      </x:c>
      <x:c r="L48" s="14" t="n">
        <x:v>72</x:v>
      </x:c>
      <x:c r="M48" s="14" t="str">
        <x:v>아웃도어가구 B2B·맞춤</x:v>
      </x:c>
      <x:c r="N48" s="14" t="str">
        <x:v>O(B2B 메뉴/견적)</x:v>
      </x:c>
      <x:c r="O48" s="14" t="str">
        <x:v>문의 필요</x:v>
      </x:c>
      <x:c r="P48" s="14" t="str">
        <x:v>문의 필요</x:v>
      </x:c>
      <x:c r="Q48" s="14" t="str">
        <x:v>문의 필요</x:v>
      </x:c>
      <x:c r="R48" s="14" t="str">
        <x:v>사전승인 필요(공개 허용 문구 없음)</x:v>
      </x:c>
      <x:c r="S48" s="14" t="str">
        <x:v>https://osto.co.kr/outdoor/</x:v>
      </x:c>
    </x:row>
    <x:row r="49" ht="48" customHeight="1">
      <x:c r="A49" s="14" t="n">
        <x:v>48</x:v>
      </x:c>
      <x:c r="B49" s="14" t="str">
        <x:v>EXP-049</x:v>
      </x:c>
      <x:c r="C49" s="14" t="str">
        <x:v>S05</x:v>
      </x:c>
      <x:c r="D49" s="14" t="str">
        <x:v>이우드</x:v>
      </x:c>
      <x:c r="E49" s="14" t="str">
        <x:v>합성목재·데크·휀스</x:v>
      </x:c>
      <x:c r="F49" s="14" t="str">
        <x:v>ewood@navion.co.kr</x:v>
      </x:c>
      <x:c r="G49" s="14" t="str">
        <x:v>A</x:v>
      </x:c>
      <x:c r="H49" s="14" t="str">
        <x:v>031-8039-5500</x:v>
      </x:c>
      <x:c r="I49" s="14" t="str">
        <x:v>이우드 고객/영업</x:v>
      </x:c>
      <x:c r="J49" s="14" t="n">
        <x:v>89</x:v>
      </x:c>
      <x:c r="K49" s="14" t="n">
        <x:v>22</x:v>
      </x:c>
      <x:c r="L49" s="14" t="n">
        <x:v>72</x:v>
      </x:c>
      <x:c r="M49" s="14" t="str">
        <x:v>합성목재 전문유통·시공</x:v>
      </x:c>
      <x:c r="N49" s="14" t="str">
        <x:v>문의 필요</x:v>
      </x:c>
      <x:c r="O49" s="14" t="str">
        <x:v>문의 필요</x:v>
      </x:c>
      <x:c r="P49" s="14" t="str">
        <x:v>문의 필요</x:v>
      </x:c>
      <x:c r="Q49" s="14" t="str">
        <x:v>문의 필요</x:v>
      </x:c>
      <x:c r="R49" s="14" t="str">
        <x:v>사전승인 필요(공개 허용 문구 없음)</x:v>
      </x:c>
      <x:c r="S49" s="14" t="str">
        <x:v>https://ewoodmall.co.kr/</x:v>
      </x:c>
    </x:row>
    <x:row r="50" ht="48" customHeight="1">
      <x:c r="A50" s="14" t="n">
        <x:v>49</x:v>
      </x:c>
      <x:c r="B50" s="14" t="str">
        <x:v>EXP-071</x:v>
      </x:c>
      <x:c r="C50" s="14" t="str">
        <x:v>S08</x:v>
      </x:c>
      <x:c r="D50" s="14" t="str">
        <x:v>에스제이이(주) / 성진옵티마</x:v>
      </x:c>
      <x:c r="E50" s="14" t="str">
        <x:v>스팀세척기</x:v>
      </x:c>
      <x:c r="F50" s="14" t="str">
        <x:v>info@sjecorp.com</x:v>
      </x:c>
      <x:c r="G50" s="14" t="str">
        <x:v>B</x:v>
      </x:c>
      <x:c r="H50" s="14" t="str">
        <x:v>1577-9170 / 051-521-3305</x:v>
      </x:c>
      <x:c r="I50" s="14" t="str">
        <x:v>구매/렌탈/기술/견적 + A/S 접수</x:v>
      </x:c>
      <x:c r="J50" s="14" t="n">
        <x:v>97</x:v>
      </x:c>
      <x:c r="K50" s="14" t="n">
        <x:v>20</x:v>
      </x:c>
      <x:c r="L50" s="14" t="n">
        <x:v>72</x:v>
      </x:c>
      <x:c r="M50" s="14" t="str">
        <x:v>국내 스팀세척기 제조</x:v>
      </x:c>
      <x:c r="N50" s="14" t="str">
        <x:v>문의 필요</x:v>
      </x:c>
      <x:c r="O50" s="14" t="str">
        <x:v>문의 필요</x:v>
      </x:c>
      <x:c r="P50" s="14" t="str">
        <x:v>문의 필요</x:v>
      </x:c>
      <x:c r="Q50" s="14" t="str">
        <x:v>O(A/S 접수 공개)</x:v>
      </x:c>
      <x:c r="R50" s="14" t="str">
        <x:v>사전승인 필요(공개 허용 문구 없음)</x:v>
      </x:c>
      <x:c r="S50" s="14" t="str">
        <x:v>https://www.sjecorp.co.kr/</x:v>
      </x:c>
    </x:row>
  </x:sheetData>
  <x:conditionalFormatting sqref="L2:L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{43AE4E5B-2402-897A-91F5-5283047496EB}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d17fdf86f23467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3AE4E5B-2402-897A-91F5-5283047496EB}">
            <x14:dataBar gradient="1">
              <x14:cfvo type="min"/>
              <x14:cfvo type="max"/>
              <x14:fillColor rgb="FFA02B93"/>
            </x14:dataBar>
          </x14:cfRule>
          <xm:sqref>L2:L50</xm:sqref>
        </x14:conditionalFormatting>
      </x14:conditionalFormattings>
    </x:ext>
  </x:extLst>
</x:worksheet>
</file>